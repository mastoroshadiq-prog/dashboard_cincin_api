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ro\Downloads\"/>
    </mc:Choice>
  </mc:AlternateContent>
  <bookViews>
    <workbookView xWindow="0" yWindow="0" windowWidth="23040" windowHeight="105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0" i="1" l="1"/>
</calcChain>
</file>

<file path=xl/sharedStrings.xml><?xml version="1.0" encoding="utf-8"?>
<sst xmlns="http://schemas.openxmlformats.org/spreadsheetml/2006/main" count="243" uniqueCount="132">
  <si>
    <t>AME002</t>
  </si>
  <si>
    <t>D001A</t>
  </si>
  <si>
    <t>D002A</t>
  </si>
  <si>
    <t>D003A</t>
  </si>
  <si>
    <t>D004A</t>
  </si>
  <si>
    <t>D005A</t>
  </si>
  <si>
    <t>D006A</t>
  </si>
  <si>
    <t>D007A</t>
  </si>
  <si>
    <t>D008A</t>
  </si>
  <si>
    <t>D009A</t>
  </si>
  <si>
    <t>D010A</t>
  </si>
  <si>
    <t>D011A</t>
  </si>
  <si>
    <t>D012A</t>
  </si>
  <si>
    <t>E001A</t>
  </si>
  <si>
    <t>E002A</t>
  </si>
  <si>
    <t>E003A</t>
  </si>
  <si>
    <t>E004A</t>
  </si>
  <si>
    <t>E005A</t>
  </si>
  <si>
    <t>E006A</t>
  </si>
  <si>
    <t>E007A</t>
  </si>
  <si>
    <t>E008A</t>
  </si>
  <si>
    <t>E009A</t>
  </si>
  <si>
    <t>E010A</t>
  </si>
  <si>
    <t>E011A</t>
  </si>
  <si>
    <t>E012A</t>
  </si>
  <si>
    <t>F001A</t>
  </si>
  <si>
    <t>F002A</t>
  </si>
  <si>
    <t>F003A</t>
  </si>
  <si>
    <t>F004A</t>
  </si>
  <si>
    <t>F005A</t>
  </si>
  <si>
    <t>F006A</t>
  </si>
  <si>
    <t>F007A</t>
  </si>
  <si>
    <t>F008A</t>
  </si>
  <si>
    <t>F009A</t>
  </si>
  <si>
    <t>F010A</t>
  </si>
  <si>
    <t>F011A</t>
  </si>
  <si>
    <t>F012A</t>
  </si>
  <si>
    <t>AME004</t>
  </si>
  <si>
    <t>A012A</t>
  </si>
  <si>
    <t>A012B</t>
  </si>
  <si>
    <t>A012C</t>
  </si>
  <si>
    <t>A012D</t>
  </si>
  <si>
    <t>A013A</t>
  </si>
  <si>
    <t>A013B</t>
  </si>
  <si>
    <t>A013C</t>
  </si>
  <si>
    <t>A013D</t>
  </si>
  <si>
    <t>A013E</t>
  </si>
  <si>
    <t>A014A</t>
  </si>
  <si>
    <t>A014B</t>
  </si>
  <si>
    <t>A014C</t>
  </si>
  <si>
    <t>A014D</t>
  </si>
  <si>
    <t>A018A</t>
  </si>
  <si>
    <t>A018B</t>
  </si>
  <si>
    <t>A018C</t>
  </si>
  <si>
    <t>A019A</t>
  </si>
  <si>
    <t>A019B</t>
  </si>
  <si>
    <t>A019C</t>
  </si>
  <si>
    <t>A020A</t>
  </si>
  <si>
    <t>A020B</t>
  </si>
  <si>
    <t>A020C</t>
  </si>
  <si>
    <t>A021A</t>
  </si>
  <si>
    <t>A021B</t>
  </si>
  <si>
    <t>B012A</t>
  </si>
  <si>
    <t>B012B</t>
  </si>
  <si>
    <t>B012C</t>
  </si>
  <si>
    <t>B012D</t>
  </si>
  <si>
    <t>B013A</t>
  </si>
  <si>
    <t>B013B</t>
  </si>
  <si>
    <t>B013C</t>
  </si>
  <si>
    <t>B014A</t>
  </si>
  <si>
    <t>B014B</t>
  </si>
  <si>
    <t>B014C</t>
  </si>
  <si>
    <t>B014D</t>
  </si>
  <si>
    <t>B014E</t>
  </si>
  <si>
    <t>B015A</t>
  </si>
  <si>
    <t>B015B</t>
  </si>
  <si>
    <t>B015C</t>
  </si>
  <si>
    <t>B015D</t>
  </si>
  <si>
    <t>B015E</t>
  </si>
  <si>
    <t>B016A</t>
  </si>
  <si>
    <t>B016B</t>
  </si>
  <si>
    <t>B016C</t>
  </si>
  <si>
    <t>B016D</t>
  </si>
  <si>
    <t>B016E</t>
  </si>
  <si>
    <t>B016F</t>
  </si>
  <si>
    <t>B016G</t>
  </si>
  <si>
    <t>B016H</t>
  </si>
  <si>
    <t>B017A</t>
  </si>
  <si>
    <t>B017B</t>
  </si>
  <si>
    <t>B017C</t>
  </si>
  <si>
    <t>B017D</t>
  </si>
  <si>
    <t>B017E</t>
  </si>
  <si>
    <t>B017F</t>
  </si>
  <si>
    <t>B017G</t>
  </si>
  <si>
    <t>B018A</t>
  </si>
  <si>
    <t>B019A</t>
  </si>
  <si>
    <t>B020A</t>
  </si>
  <si>
    <t>B020B</t>
  </si>
  <si>
    <t>B021A</t>
  </si>
  <si>
    <t>B021B</t>
  </si>
  <si>
    <t>B022A</t>
  </si>
  <si>
    <t>B022B</t>
  </si>
  <si>
    <t>B023A</t>
  </si>
  <si>
    <t>B024A</t>
  </si>
  <si>
    <t>B024B</t>
  </si>
  <si>
    <t>C012A</t>
  </si>
  <si>
    <t>C013A</t>
  </si>
  <si>
    <t>C014A</t>
  </si>
  <si>
    <t>C015A</t>
  </si>
  <si>
    <t>C016A</t>
  </si>
  <si>
    <t>C017A</t>
  </si>
  <si>
    <t>C018A</t>
  </si>
  <si>
    <t>C018B</t>
  </si>
  <si>
    <t>C019A</t>
  </si>
  <si>
    <t>DIVISI</t>
  </si>
  <si>
    <t>BLOK</t>
  </si>
  <si>
    <t>TAHUN_TANAM</t>
  </si>
  <si>
    <t>HA STATEMENT</t>
  </si>
  <si>
    <t>LUAS TANAM</t>
  </si>
  <si>
    <t>SD THN 2024</t>
  </si>
  <si>
    <t>PENAMBAHAN</t>
  </si>
  <si>
    <t>SD 2025</t>
  </si>
  <si>
    <t>SERANGAN GANODERMA (PKK)</t>
  </si>
  <si>
    <t>TOTAL</t>
  </si>
  <si>
    <t>TOTAL PKK</t>
  </si>
  <si>
    <t>SPH</t>
  </si>
  <si>
    <t>STADIUM 1&amp;2</t>
  </si>
  <si>
    <t>STADIUM 3&amp;4</t>
  </si>
  <si>
    <t>%SERANGAN</t>
  </si>
  <si>
    <t>TANAM</t>
  </si>
  <si>
    <t>SISIP</t>
  </si>
  <si>
    <t>SISIP KENTOSAN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</si>
</sst>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3" formatCode="_(* #,##0.00_);_(* \(#,##0.00\);_(* &quot;-&quot;??_);_(@_)"/>
    <numFmt numFmtId="165" formatCode="_-* #,##0.0_-;\-* #,##0.0_-;_-* &quot;-&quot;_-;_-@_-"/>
    <numFmt numFmtId="166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2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65" fontId="3" fillId="2" borderId="1" xfId="2" applyNumberFormat="1" applyFont="1" applyFill="1" applyBorder="1" applyAlignment="1">
      <alignment vertical="center"/>
    </xf>
    <xf numFmtId="0" fontId="4" fillId="2" borderId="2" xfId="2" applyNumberFormat="1" applyFont="1" applyFill="1" applyBorder="1" applyAlignment="1">
      <alignment horizontal="center" vertical="center" wrapText="1"/>
    </xf>
    <xf numFmtId="0" fontId="4" fillId="2" borderId="1" xfId="2" applyNumberFormat="1" applyFont="1" applyFill="1" applyBorder="1" applyAlignment="1">
      <alignment horizontal="center" vertical="center" wrapText="1"/>
    </xf>
    <xf numFmtId="0" fontId="4" fillId="2" borderId="3" xfId="2" applyNumberFormat="1" applyFont="1" applyFill="1" applyBorder="1" applyAlignment="1">
      <alignment horizontal="center" vertical="center" wrapText="1"/>
    </xf>
    <xf numFmtId="0" fontId="4" fillId="2" borderId="4" xfId="2" applyNumberFormat="1" applyFont="1" applyFill="1" applyBorder="1" applyAlignment="1">
      <alignment horizontal="center" vertical="center" wrapText="1"/>
    </xf>
    <xf numFmtId="0" fontId="4" fillId="2" borderId="5" xfId="2" applyNumberFormat="1" applyFont="1" applyFill="1" applyBorder="1" applyAlignment="1">
      <alignment horizontal="center" vertical="center" wrapText="1"/>
    </xf>
    <xf numFmtId="0" fontId="4" fillId="2" borderId="6" xfId="2" applyNumberFormat="1" applyFont="1" applyFill="1" applyBorder="1" applyAlignment="1">
      <alignment horizontal="center" vertical="center" wrapText="1"/>
    </xf>
    <xf numFmtId="0" fontId="4" fillId="2" borderId="4" xfId="2" applyNumberFormat="1" applyFont="1" applyFill="1" applyBorder="1" applyAlignment="1">
      <alignment horizontal="center" vertical="center" wrapText="1"/>
    </xf>
    <xf numFmtId="0" fontId="4" fillId="2" borderId="5" xfId="2" applyNumberFormat="1" applyFont="1" applyFill="1" applyBorder="1" applyAlignment="1">
      <alignment horizontal="center" vertical="center" wrapText="1"/>
    </xf>
    <xf numFmtId="0" fontId="4" fillId="2" borderId="7" xfId="2" applyNumberFormat="1" applyFont="1" applyFill="1" applyBorder="1" applyAlignment="1">
      <alignment horizontal="center" vertical="center" wrapText="1"/>
    </xf>
    <xf numFmtId="0" fontId="4" fillId="2" borderId="8" xfId="2" applyNumberFormat="1" applyFont="1" applyFill="1" applyBorder="1" applyAlignment="1">
      <alignment horizontal="center" vertical="center" wrapText="1"/>
    </xf>
    <xf numFmtId="0" fontId="4" fillId="2" borderId="9" xfId="2" applyNumberFormat="1" applyFont="1" applyFill="1" applyBorder="1" applyAlignment="1">
      <alignment horizontal="center" vertical="center" wrapText="1"/>
    </xf>
    <xf numFmtId="0" fontId="4" fillId="2" borderId="10" xfId="2" applyNumberFormat="1" applyFont="1" applyFill="1" applyBorder="1" applyAlignment="1">
      <alignment horizontal="center" vertical="center" wrapText="1"/>
    </xf>
    <xf numFmtId="0" fontId="4" fillId="2" borderId="11" xfId="2" applyNumberFormat="1" applyFont="1" applyFill="1" applyBorder="1" applyAlignment="1">
      <alignment horizontal="center" vertical="center" wrapText="1"/>
    </xf>
    <xf numFmtId="10" fontId="4" fillId="2" borderId="11" xfId="3" applyNumberFormat="1" applyFont="1" applyFill="1" applyBorder="1" applyAlignment="1">
      <alignment horizontal="center" vertical="center" wrapText="1"/>
    </xf>
    <xf numFmtId="0" fontId="4" fillId="2" borderId="12" xfId="2" applyNumberFormat="1" applyFont="1" applyFill="1" applyBorder="1" applyAlignment="1">
      <alignment horizontal="center" vertical="center" wrapText="1"/>
    </xf>
    <xf numFmtId="166" fontId="2" fillId="2" borderId="1" xfId="1" applyNumberFormat="1" applyFont="1" applyFill="1" applyBorder="1" applyAlignment="1">
      <alignment vertical="center"/>
    </xf>
    <xf numFmtId="10" fontId="2" fillId="2" borderId="1" xfId="3" applyNumberFormat="1" applyFont="1" applyFill="1" applyBorder="1" applyAlignment="1">
      <alignment vertical="center"/>
    </xf>
    <xf numFmtId="166" fontId="3" fillId="2" borderId="1" xfId="1" applyNumberFormat="1" applyFont="1" applyFill="1" applyBorder="1" applyAlignment="1">
      <alignment vertical="center"/>
    </xf>
    <xf numFmtId="10" fontId="3" fillId="2" borderId="1" xfId="3" applyNumberFormat="1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3" xfId="0" applyFont="1" applyFill="1" applyBorder="1" applyAlignment="1">
      <alignment horizontal="center" vertical="center"/>
    </xf>
    <xf numFmtId="165" fontId="2" fillId="2" borderId="13" xfId="2" applyNumberFormat="1" applyFont="1" applyFill="1" applyBorder="1" applyAlignment="1">
      <alignment vertical="center"/>
    </xf>
    <xf numFmtId="166" fontId="2" fillId="2" borderId="13" xfId="1" applyNumberFormat="1" applyFont="1" applyFill="1" applyBorder="1" applyAlignment="1">
      <alignment vertical="center"/>
    </xf>
    <xf numFmtId="10" fontId="2" fillId="2" borderId="13" xfId="3" applyNumberFormat="1" applyFont="1" applyFill="1" applyBorder="1" applyAlignment="1">
      <alignment vertical="center"/>
    </xf>
    <xf numFmtId="0" fontId="0" fillId="0" borderId="0" xfId="0" applyBorder="1"/>
    <xf numFmtId="0" fontId="0" fillId="0" borderId="14" xfId="0" applyBorder="1"/>
  </cellXfs>
  <cellStyles count="4">
    <cellStyle name="Comma" xfId="1" builtinId="3"/>
    <cellStyle name="Comma [0]" xfId="2" builtinId="6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5"/>
  <sheetViews>
    <sheetView tabSelected="1" workbookViewId="0">
      <selection activeCell="G5" sqref="G5"/>
    </sheetView>
  </sheetViews>
  <sheetFormatPr defaultRowHeight="14.4" x14ac:dyDescent="0.3"/>
  <cols>
    <col min="3" max="3" width="15.88671875" customWidth="1"/>
    <col min="5" max="5" width="11.77734375" customWidth="1"/>
    <col min="6" max="6" width="11.6640625" customWidth="1"/>
  </cols>
  <sheetData>
    <row r="1" spans="1:15" x14ac:dyDescent="0.3">
      <c r="A1" s="31"/>
      <c r="B1" s="31"/>
      <c r="C1" s="31"/>
      <c r="D1" s="7" t="s">
        <v>117</v>
      </c>
      <c r="E1" s="7"/>
      <c r="F1" s="7"/>
      <c r="G1" s="10"/>
      <c r="H1" s="10"/>
      <c r="I1" s="10"/>
      <c r="J1" s="10"/>
      <c r="K1" s="11"/>
      <c r="L1" s="12" t="s">
        <v>122</v>
      </c>
      <c r="M1" s="13"/>
      <c r="N1" s="13"/>
      <c r="O1" s="14"/>
    </row>
    <row r="2" spans="1:15" x14ac:dyDescent="0.3">
      <c r="A2" s="31"/>
      <c r="B2" s="31"/>
      <c r="C2" s="31"/>
      <c r="D2" s="8" t="s">
        <v>118</v>
      </c>
      <c r="E2" s="8"/>
      <c r="F2" s="8"/>
      <c r="G2" s="15" t="s">
        <v>123</v>
      </c>
      <c r="H2" s="16"/>
      <c r="I2" s="17"/>
      <c r="J2" s="18" t="s">
        <v>124</v>
      </c>
      <c r="K2" s="18" t="s">
        <v>125</v>
      </c>
      <c r="L2" s="19" t="s">
        <v>126</v>
      </c>
      <c r="M2" s="19" t="s">
        <v>127</v>
      </c>
      <c r="N2" s="19" t="s">
        <v>123</v>
      </c>
      <c r="O2" s="20" t="s">
        <v>128</v>
      </c>
    </row>
    <row r="3" spans="1:15" ht="20.399999999999999" x14ac:dyDescent="0.3">
      <c r="A3" s="32" t="s">
        <v>114</v>
      </c>
      <c r="B3" s="32" t="s">
        <v>115</v>
      </c>
      <c r="C3" s="32" t="s">
        <v>116</v>
      </c>
      <c r="D3" s="9" t="s">
        <v>119</v>
      </c>
      <c r="E3" s="9" t="s">
        <v>120</v>
      </c>
      <c r="F3" s="9" t="s">
        <v>121</v>
      </c>
      <c r="G3" s="9" t="s">
        <v>129</v>
      </c>
      <c r="H3" s="9" t="s">
        <v>130</v>
      </c>
      <c r="I3" s="9" t="s">
        <v>131</v>
      </c>
      <c r="J3" s="21"/>
      <c r="K3" s="21"/>
      <c r="L3" s="19"/>
      <c r="M3" s="19"/>
      <c r="N3" s="19"/>
      <c r="O3" s="20"/>
    </row>
    <row r="4" spans="1:15" x14ac:dyDescent="0.3">
      <c r="A4" s="26" t="s">
        <v>0</v>
      </c>
      <c r="B4" s="26" t="s">
        <v>1</v>
      </c>
      <c r="C4" s="27">
        <v>2009</v>
      </c>
      <c r="D4" s="28">
        <v>25.8</v>
      </c>
      <c r="E4" s="28"/>
      <c r="F4" s="28">
        <v>25.8</v>
      </c>
      <c r="G4" s="29">
        <v>641</v>
      </c>
      <c r="H4" s="29">
        <v>2843</v>
      </c>
      <c r="I4" s="29">
        <v>0</v>
      </c>
      <c r="J4" s="29">
        <v>3484</v>
      </c>
      <c r="K4" s="29">
        <v>135.03875968992247</v>
      </c>
      <c r="L4" s="29">
        <v>93</v>
      </c>
      <c r="M4" s="29">
        <v>13</v>
      </c>
      <c r="N4" s="29">
        <v>106</v>
      </c>
      <c r="O4" s="30">
        <v>3.0424799081515498E-2</v>
      </c>
    </row>
    <row r="5" spans="1:15" x14ac:dyDescent="0.3">
      <c r="A5" s="1" t="s">
        <v>0</v>
      </c>
      <c r="B5" s="1" t="s">
        <v>2</v>
      </c>
      <c r="C5" s="2">
        <v>2009</v>
      </c>
      <c r="D5" s="3">
        <v>23.7</v>
      </c>
      <c r="E5" s="3"/>
      <c r="F5" s="3">
        <v>23.7</v>
      </c>
      <c r="G5" s="22">
        <v>562</v>
      </c>
      <c r="H5" s="22">
        <v>2588</v>
      </c>
      <c r="I5" s="22">
        <v>0</v>
      </c>
      <c r="J5" s="22">
        <v>3150</v>
      </c>
      <c r="K5" s="22">
        <v>132.91139240506328</v>
      </c>
      <c r="L5" s="22">
        <v>47</v>
      </c>
      <c r="M5" s="22">
        <v>0</v>
      </c>
      <c r="N5" s="22">
        <v>47</v>
      </c>
      <c r="O5" s="23">
        <v>1.4920634920634921E-2</v>
      </c>
    </row>
    <row r="6" spans="1:15" x14ac:dyDescent="0.3">
      <c r="A6" s="1" t="s">
        <v>0</v>
      </c>
      <c r="B6" s="1" t="s">
        <v>3</v>
      </c>
      <c r="C6" s="2">
        <v>2009</v>
      </c>
      <c r="D6" s="3">
        <v>25.3</v>
      </c>
      <c r="E6" s="3"/>
      <c r="F6" s="3">
        <v>25.3</v>
      </c>
      <c r="G6" s="22">
        <v>555</v>
      </c>
      <c r="H6" s="22">
        <v>2576</v>
      </c>
      <c r="I6" s="22">
        <v>0</v>
      </c>
      <c r="J6" s="22">
        <v>3131</v>
      </c>
      <c r="K6" s="22">
        <v>123.75494071146245</v>
      </c>
      <c r="L6" s="22">
        <v>89</v>
      </c>
      <c r="M6" s="22">
        <v>11</v>
      </c>
      <c r="N6" s="22">
        <v>100</v>
      </c>
      <c r="O6" s="23">
        <v>3.1938677738741615E-2</v>
      </c>
    </row>
    <row r="7" spans="1:15" x14ac:dyDescent="0.3">
      <c r="A7" s="1" t="s">
        <v>0</v>
      </c>
      <c r="B7" s="1" t="s">
        <v>4</v>
      </c>
      <c r="C7" s="2">
        <v>2009</v>
      </c>
      <c r="D7" s="3">
        <v>22</v>
      </c>
      <c r="E7" s="3"/>
      <c r="F7" s="3">
        <v>22</v>
      </c>
      <c r="G7" s="22">
        <v>153</v>
      </c>
      <c r="H7" s="22">
        <v>2688</v>
      </c>
      <c r="I7" s="22">
        <v>0</v>
      </c>
      <c r="J7" s="22">
        <v>2841</v>
      </c>
      <c r="K7" s="22">
        <v>129.13636363636363</v>
      </c>
      <c r="L7" s="22">
        <v>51</v>
      </c>
      <c r="M7" s="22">
        <v>13</v>
      </c>
      <c r="N7" s="22">
        <v>64</v>
      </c>
      <c r="O7" s="23">
        <v>2.2527279127067933E-2</v>
      </c>
    </row>
    <row r="8" spans="1:15" x14ac:dyDescent="0.3">
      <c r="A8" s="1" t="s">
        <v>0</v>
      </c>
      <c r="B8" s="1" t="s">
        <v>5</v>
      </c>
      <c r="C8" s="2">
        <v>2009</v>
      </c>
      <c r="D8" s="3">
        <v>24.1</v>
      </c>
      <c r="E8" s="3"/>
      <c r="F8" s="3">
        <v>24.1</v>
      </c>
      <c r="G8" s="22">
        <v>2200</v>
      </c>
      <c r="H8" s="22">
        <v>162</v>
      </c>
      <c r="I8" s="22">
        <v>0</v>
      </c>
      <c r="J8" s="22">
        <v>2362</v>
      </c>
      <c r="K8" s="22">
        <v>98.008298755186715</v>
      </c>
      <c r="L8" s="22">
        <v>126</v>
      </c>
      <c r="M8" s="22">
        <v>44</v>
      </c>
      <c r="N8" s="22">
        <v>170</v>
      </c>
      <c r="O8" s="23">
        <v>7.1972904318374262E-2</v>
      </c>
    </row>
    <row r="9" spans="1:15" x14ac:dyDescent="0.3">
      <c r="A9" s="1" t="s">
        <v>0</v>
      </c>
      <c r="B9" s="1" t="s">
        <v>6</v>
      </c>
      <c r="C9" s="2">
        <v>2009</v>
      </c>
      <c r="D9" s="3">
        <v>23</v>
      </c>
      <c r="E9" s="3"/>
      <c r="F9" s="3">
        <v>23</v>
      </c>
      <c r="G9" s="22">
        <v>2070</v>
      </c>
      <c r="H9" s="22">
        <v>321</v>
      </c>
      <c r="I9" s="22">
        <v>0</v>
      </c>
      <c r="J9" s="22">
        <v>2391</v>
      </c>
      <c r="K9" s="22">
        <v>103.95652173913044</v>
      </c>
      <c r="L9" s="22">
        <v>128</v>
      </c>
      <c r="M9" s="22">
        <v>32</v>
      </c>
      <c r="N9" s="22">
        <v>160</v>
      </c>
      <c r="O9" s="23">
        <v>6.6917607695524892E-2</v>
      </c>
    </row>
    <row r="10" spans="1:15" x14ac:dyDescent="0.3">
      <c r="A10" s="1" t="s">
        <v>0</v>
      </c>
      <c r="B10" s="1" t="s">
        <v>7</v>
      </c>
      <c r="C10" s="2">
        <v>2009</v>
      </c>
      <c r="D10" s="3">
        <v>24.7</v>
      </c>
      <c r="E10" s="3"/>
      <c r="F10" s="3">
        <v>24.7</v>
      </c>
      <c r="G10" s="22">
        <v>1934</v>
      </c>
      <c r="H10" s="22">
        <v>664</v>
      </c>
      <c r="I10" s="22">
        <v>0</v>
      </c>
      <c r="J10" s="22">
        <v>2598</v>
      </c>
      <c r="K10" s="22">
        <v>105.18218623481782</v>
      </c>
      <c r="L10" s="22">
        <v>90</v>
      </c>
      <c r="M10" s="22">
        <v>29</v>
      </c>
      <c r="N10" s="22">
        <v>119</v>
      </c>
      <c r="O10" s="23">
        <v>4.5804464973056194E-2</v>
      </c>
    </row>
    <row r="11" spans="1:15" x14ac:dyDescent="0.3">
      <c r="A11" s="1" t="s">
        <v>0</v>
      </c>
      <c r="B11" s="1" t="s">
        <v>8</v>
      </c>
      <c r="C11" s="2">
        <v>2009</v>
      </c>
      <c r="D11" s="3">
        <v>25.3</v>
      </c>
      <c r="E11" s="3"/>
      <c r="F11" s="3">
        <v>25.3</v>
      </c>
      <c r="G11" s="22">
        <v>2374</v>
      </c>
      <c r="H11" s="22">
        <v>165</v>
      </c>
      <c r="I11" s="22">
        <v>0</v>
      </c>
      <c r="J11" s="22">
        <v>2539</v>
      </c>
      <c r="K11" s="22">
        <v>100.35573122529644</v>
      </c>
      <c r="L11" s="22">
        <v>256</v>
      </c>
      <c r="M11" s="22">
        <v>84</v>
      </c>
      <c r="N11" s="22">
        <v>340</v>
      </c>
      <c r="O11" s="23">
        <v>0.13391098857818037</v>
      </c>
    </row>
    <row r="12" spans="1:15" x14ac:dyDescent="0.3">
      <c r="A12" s="1" t="s">
        <v>0</v>
      </c>
      <c r="B12" s="1" t="s">
        <v>9</v>
      </c>
      <c r="C12" s="2">
        <v>2009</v>
      </c>
      <c r="D12" s="3">
        <v>24.4</v>
      </c>
      <c r="E12" s="3"/>
      <c r="F12" s="3">
        <v>24.4</v>
      </c>
      <c r="G12" s="22">
        <v>1783</v>
      </c>
      <c r="H12" s="22">
        <v>831</v>
      </c>
      <c r="I12" s="22">
        <v>0</v>
      </c>
      <c r="J12" s="22">
        <v>2614</v>
      </c>
      <c r="K12" s="22">
        <v>107.13114754098362</v>
      </c>
      <c r="L12" s="22">
        <v>95</v>
      </c>
      <c r="M12" s="22">
        <v>30</v>
      </c>
      <c r="N12" s="22">
        <v>125</v>
      </c>
      <c r="O12" s="23">
        <v>4.7819433817903594E-2</v>
      </c>
    </row>
    <row r="13" spans="1:15" x14ac:dyDescent="0.3">
      <c r="A13" s="1" t="s">
        <v>0</v>
      </c>
      <c r="B13" s="1" t="s">
        <v>10</v>
      </c>
      <c r="C13" s="2">
        <v>2009</v>
      </c>
      <c r="D13" s="3">
        <v>23.7</v>
      </c>
      <c r="E13" s="3"/>
      <c r="F13" s="3">
        <v>23.7</v>
      </c>
      <c r="G13" s="22">
        <v>1622</v>
      </c>
      <c r="H13" s="22">
        <v>953</v>
      </c>
      <c r="I13" s="22">
        <v>0</v>
      </c>
      <c r="J13" s="22">
        <v>2575</v>
      </c>
      <c r="K13" s="22">
        <v>108.64978902953587</v>
      </c>
      <c r="L13" s="22">
        <v>60</v>
      </c>
      <c r="M13" s="22">
        <v>21</v>
      </c>
      <c r="N13" s="22">
        <v>81</v>
      </c>
      <c r="O13" s="23">
        <v>3.1456310679611653E-2</v>
      </c>
    </row>
    <row r="14" spans="1:15" x14ac:dyDescent="0.3">
      <c r="A14" s="1" t="s">
        <v>0</v>
      </c>
      <c r="B14" s="1" t="s">
        <v>11</v>
      </c>
      <c r="C14" s="2">
        <v>2009</v>
      </c>
      <c r="D14" s="3">
        <v>24</v>
      </c>
      <c r="E14" s="3"/>
      <c r="F14" s="3">
        <v>24</v>
      </c>
      <c r="G14" s="22">
        <v>1723</v>
      </c>
      <c r="H14" s="22">
        <v>437</v>
      </c>
      <c r="I14" s="22">
        <v>0</v>
      </c>
      <c r="J14" s="22">
        <v>2160</v>
      </c>
      <c r="K14" s="22">
        <v>90</v>
      </c>
      <c r="L14" s="22">
        <v>149</v>
      </c>
      <c r="M14" s="22">
        <v>24</v>
      </c>
      <c r="N14" s="22">
        <v>173</v>
      </c>
      <c r="O14" s="23">
        <v>8.009259259259259E-2</v>
      </c>
    </row>
    <row r="15" spans="1:15" x14ac:dyDescent="0.3">
      <c r="A15" s="1" t="s">
        <v>0</v>
      </c>
      <c r="B15" s="1" t="s">
        <v>12</v>
      </c>
      <c r="C15" s="2">
        <v>2009</v>
      </c>
      <c r="D15" s="3">
        <v>26.7</v>
      </c>
      <c r="E15" s="3"/>
      <c r="F15" s="3">
        <v>26.7</v>
      </c>
      <c r="G15" s="22">
        <v>2028</v>
      </c>
      <c r="H15" s="22">
        <v>583</v>
      </c>
      <c r="I15" s="22">
        <v>0</v>
      </c>
      <c r="J15" s="22">
        <v>2611</v>
      </c>
      <c r="K15" s="22">
        <v>97.790262172284642</v>
      </c>
      <c r="L15" s="22">
        <v>115</v>
      </c>
      <c r="M15" s="22">
        <v>20</v>
      </c>
      <c r="N15" s="22">
        <v>135</v>
      </c>
      <c r="O15" s="23">
        <v>5.1704327843738032E-2</v>
      </c>
    </row>
    <row r="16" spans="1:15" x14ac:dyDescent="0.3">
      <c r="A16" s="1" t="s">
        <v>0</v>
      </c>
      <c r="B16" s="1" t="s">
        <v>13</v>
      </c>
      <c r="C16" s="2">
        <v>2009</v>
      </c>
      <c r="D16" s="3">
        <v>22.5</v>
      </c>
      <c r="E16" s="3"/>
      <c r="F16" s="3">
        <v>22.5</v>
      </c>
      <c r="G16" s="22">
        <v>902</v>
      </c>
      <c r="H16" s="22">
        <v>2112</v>
      </c>
      <c r="I16" s="22">
        <v>0</v>
      </c>
      <c r="J16" s="22">
        <v>3014</v>
      </c>
      <c r="K16" s="22">
        <v>133.95555555555555</v>
      </c>
      <c r="L16" s="22">
        <v>80</v>
      </c>
      <c r="M16" s="22">
        <v>19</v>
      </c>
      <c r="N16" s="22">
        <v>99</v>
      </c>
      <c r="O16" s="23">
        <v>3.2846715328467155E-2</v>
      </c>
    </row>
    <row r="17" spans="1:15" x14ac:dyDescent="0.3">
      <c r="A17" s="1" t="s">
        <v>0</v>
      </c>
      <c r="B17" s="1" t="s">
        <v>14</v>
      </c>
      <c r="C17" s="2">
        <v>2009</v>
      </c>
      <c r="D17" s="3">
        <v>22.2</v>
      </c>
      <c r="E17" s="3"/>
      <c r="F17" s="3">
        <v>22.2</v>
      </c>
      <c r="G17" s="22">
        <v>1080</v>
      </c>
      <c r="H17" s="22">
        <v>1779</v>
      </c>
      <c r="I17" s="22">
        <v>0</v>
      </c>
      <c r="J17" s="22">
        <v>2859</v>
      </c>
      <c r="K17" s="22">
        <v>128.78378378378378</v>
      </c>
      <c r="L17" s="22">
        <v>62</v>
      </c>
      <c r="M17" s="22">
        <v>12</v>
      </c>
      <c r="N17" s="22">
        <v>74</v>
      </c>
      <c r="O17" s="23">
        <v>2.5883175935641833E-2</v>
      </c>
    </row>
    <row r="18" spans="1:15" x14ac:dyDescent="0.3">
      <c r="A18" s="1" t="s">
        <v>0</v>
      </c>
      <c r="B18" s="1" t="s">
        <v>15</v>
      </c>
      <c r="C18" s="2">
        <v>2009</v>
      </c>
      <c r="D18" s="3">
        <v>21.6</v>
      </c>
      <c r="E18" s="3"/>
      <c r="F18" s="3">
        <v>21.6</v>
      </c>
      <c r="G18" s="22">
        <v>1925</v>
      </c>
      <c r="H18" s="22">
        <v>859</v>
      </c>
      <c r="I18" s="22">
        <v>0</v>
      </c>
      <c r="J18" s="22">
        <v>2784</v>
      </c>
      <c r="K18" s="22">
        <v>128.88888888888889</v>
      </c>
      <c r="L18" s="22">
        <v>109</v>
      </c>
      <c r="M18" s="22">
        <v>22</v>
      </c>
      <c r="N18" s="22">
        <v>131</v>
      </c>
      <c r="O18" s="23">
        <v>4.7054597701149427E-2</v>
      </c>
    </row>
    <row r="19" spans="1:15" x14ac:dyDescent="0.3">
      <c r="A19" s="1" t="s">
        <v>0</v>
      </c>
      <c r="B19" s="1" t="s">
        <v>16</v>
      </c>
      <c r="C19" s="2">
        <v>2009</v>
      </c>
      <c r="D19" s="3">
        <v>19.899999999999999</v>
      </c>
      <c r="E19" s="3"/>
      <c r="F19" s="3">
        <v>19.899999999999999</v>
      </c>
      <c r="G19" s="22">
        <v>2269</v>
      </c>
      <c r="H19" s="22">
        <v>276</v>
      </c>
      <c r="I19" s="22">
        <v>0</v>
      </c>
      <c r="J19" s="22">
        <v>2545</v>
      </c>
      <c r="K19" s="22">
        <v>127.88944723618091</v>
      </c>
      <c r="L19" s="22">
        <v>117</v>
      </c>
      <c r="M19" s="22">
        <v>30</v>
      </c>
      <c r="N19" s="22">
        <v>147</v>
      </c>
      <c r="O19" s="23">
        <v>5.7760314341846759E-2</v>
      </c>
    </row>
    <row r="20" spans="1:15" x14ac:dyDescent="0.3">
      <c r="A20" s="1" t="s">
        <v>0</v>
      </c>
      <c r="B20" s="1" t="s">
        <v>17</v>
      </c>
      <c r="C20" s="2">
        <v>2009</v>
      </c>
      <c r="D20" s="3">
        <v>24</v>
      </c>
      <c r="E20" s="3"/>
      <c r="F20" s="3">
        <v>24</v>
      </c>
      <c r="G20" s="22">
        <v>2256</v>
      </c>
      <c r="H20" s="22">
        <v>349</v>
      </c>
      <c r="I20" s="22">
        <v>0</v>
      </c>
      <c r="J20" s="22">
        <v>2605</v>
      </c>
      <c r="K20" s="22">
        <v>108.54166666666667</v>
      </c>
      <c r="L20" s="22">
        <v>294</v>
      </c>
      <c r="M20" s="22">
        <v>72</v>
      </c>
      <c r="N20" s="22">
        <v>366</v>
      </c>
      <c r="O20" s="23">
        <v>0.14049904030710172</v>
      </c>
    </row>
    <row r="21" spans="1:15" x14ac:dyDescent="0.3">
      <c r="A21" s="1" t="s">
        <v>0</v>
      </c>
      <c r="B21" s="1" t="s">
        <v>18</v>
      </c>
      <c r="C21" s="2">
        <v>2009</v>
      </c>
      <c r="D21" s="3">
        <v>24.3</v>
      </c>
      <c r="E21" s="3"/>
      <c r="F21" s="3">
        <v>24.3</v>
      </c>
      <c r="G21" s="22">
        <v>2312</v>
      </c>
      <c r="H21" s="22">
        <v>364</v>
      </c>
      <c r="I21" s="22">
        <v>0</v>
      </c>
      <c r="J21" s="22">
        <v>2676</v>
      </c>
      <c r="K21" s="22">
        <v>110.12345679012346</v>
      </c>
      <c r="L21" s="22">
        <v>247</v>
      </c>
      <c r="M21" s="22">
        <v>78</v>
      </c>
      <c r="N21" s="22">
        <v>325</v>
      </c>
      <c r="O21" s="23">
        <v>0.12144992526158445</v>
      </c>
    </row>
    <row r="22" spans="1:15" x14ac:dyDescent="0.3">
      <c r="A22" s="1" t="s">
        <v>0</v>
      </c>
      <c r="B22" s="1" t="s">
        <v>19</v>
      </c>
      <c r="C22" s="2">
        <v>2009</v>
      </c>
      <c r="D22" s="3">
        <v>24.2</v>
      </c>
      <c r="E22" s="3"/>
      <c r="F22" s="3">
        <v>24.2</v>
      </c>
      <c r="G22" s="22">
        <v>1957</v>
      </c>
      <c r="H22" s="22">
        <v>525</v>
      </c>
      <c r="I22" s="22">
        <v>0</v>
      </c>
      <c r="J22" s="22">
        <v>2482</v>
      </c>
      <c r="K22" s="22">
        <v>102.56198347107438</v>
      </c>
      <c r="L22" s="22">
        <v>286</v>
      </c>
      <c r="M22" s="22">
        <v>68</v>
      </c>
      <c r="N22" s="22">
        <v>354</v>
      </c>
      <c r="O22" s="23">
        <v>0.1426269137792103</v>
      </c>
    </row>
    <row r="23" spans="1:15" x14ac:dyDescent="0.3">
      <c r="A23" s="1" t="s">
        <v>0</v>
      </c>
      <c r="B23" s="1" t="s">
        <v>20</v>
      </c>
      <c r="C23" s="2">
        <v>2009</v>
      </c>
      <c r="D23" s="3">
        <v>24.7</v>
      </c>
      <c r="E23" s="3"/>
      <c r="F23" s="3">
        <v>24.7</v>
      </c>
      <c r="G23" s="22">
        <v>2592</v>
      </c>
      <c r="H23" s="22">
        <v>144</v>
      </c>
      <c r="I23" s="22">
        <v>13</v>
      </c>
      <c r="J23" s="22">
        <v>2749</v>
      </c>
      <c r="K23" s="22">
        <v>111.29554655870446</v>
      </c>
      <c r="L23" s="22">
        <v>169</v>
      </c>
      <c r="M23" s="22">
        <v>51</v>
      </c>
      <c r="N23" s="22">
        <v>220</v>
      </c>
      <c r="O23" s="23">
        <v>8.002910149145144E-2</v>
      </c>
    </row>
    <row r="24" spans="1:15" x14ac:dyDescent="0.3">
      <c r="A24" s="1" t="s">
        <v>0</v>
      </c>
      <c r="B24" s="1" t="s">
        <v>21</v>
      </c>
      <c r="C24" s="2">
        <v>2009</v>
      </c>
      <c r="D24" s="3">
        <v>23.7</v>
      </c>
      <c r="E24" s="3"/>
      <c r="F24" s="3">
        <v>23.7</v>
      </c>
      <c r="G24" s="22">
        <v>922</v>
      </c>
      <c r="H24" s="22">
        <v>1773</v>
      </c>
      <c r="I24" s="22">
        <v>0</v>
      </c>
      <c r="J24" s="22">
        <v>2695</v>
      </c>
      <c r="K24" s="22">
        <v>113.71308016877637</v>
      </c>
      <c r="L24" s="22">
        <v>86</v>
      </c>
      <c r="M24" s="22">
        <v>34</v>
      </c>
      <c r="N24" s="22">
        <v>120</v>
      </c>
      <c r="O24" s="23">
        <v>4.4526901669758812E-2</v>
      </c>
    </row>
    <row r="25" spans="1:15" x14ac:dyDescent="0.3">
      <c r="A25" s="1" t="s">
        <v>0</v>
      </c>
      <c r="B25" s="1" t="s">
        <v>22</v>
      </c>
      <c r="C25" s="2">
        <v>2009</v>
      </c>
      <c r="D25" s="3">
        <v>25.6</v>
      </c>
      <c r="E25" s="3"/>
      <c r="F25" s="3">
        <v>25.6</v>
      </c>
      <c r="G25" s="22">
        <v>1907</v>
      </c>
      <c r="H25" s="22">
        <v>589</v>
      </c>
      <c r="I25" s="22">
        <v>0</v>
      </c>
      <c r="J25" s="22">
        <v>2496</v>
      </c>
      <c r="K25" s="22">
        <v>97.5</v>
      </c>
      <c r="L25" s="22">
        <v>140</v>
      </c>
      <c r="M25" s="22">
        <v>67</v>
      </c>
      <c r="N25" s="22">
        <v>207</v>
      </c>
      <c r="O25" s="23">
        <v>8.2932692307692304E-2</v>
      </c>
    </row>
    <row r="26" spans="1:15" x14ac:dyDescent="0.3">
      <c r="A26" s="1" t="s">
        <v>0</v>
      </c>
      <c r="B26" s="1" t="s">
        <v>23</v>
      </c>
      <c r="C26" s="2">
        <v>2009</v>
      </c>
      <c r="D26" s="3">
        <v>24.3</v>
      </c>
      <c r="E26" s="3"/>
      <c r="F26" s="3">
        <v>24.3</v>
      </c>
      <c r="G26" s="22">
        <v>361</v>
      </c>
      <c r="H26" s="22">
        <v>2291</v>
      </c>
      <c r="I26" s="22">
        <v>0</v>
      </c>
      <c r="J26" s="22">
        <v>2652</v>
      </c>
      <c r="K26" s="22">
        <v>109.1358024691358</v>
      </c>
      <c r="L26" s="22">
        <v>165</v>
      </c>
      <c r="M26" s="22">
        <v>39</v>
      </c>
      <c r="N26" s="22">
        <v>204</v>
      </c>
      <c r="O26" s="23">
        <v>7.6923076923076927E-2</v>
      </c>
    </row>
    <row r="27" spans="1:15" x14ac:dyDescent="0.3">
      <c r="A27" s="1" t="s">
        <v>0</v>
      </c>
      <c r="B27" s="1" t="s">
        <v>24</v>
      </c>
      <c r="C27" s="2">
        <v>2009</v>
      </c>
      <c r="D27" s="3">
        <v>25.4</v>
      </c>
      <c r="E27" s="3"/>
      <c r="F27" s="3">
        <v>25.4</v>
      </c>
      <c r="G27" s="22">
        <v>694</v>
      </c>
      <c r="H27" s="22">
        <v>1895</v>
      </c>
      <c r="I27" s="22">
        <v>0</v>
      </c>
      <c r="J27" s="22">
        <v>2589</v>
      </c>
      <c r="K27" s="22">
        <v>101.92913385826772</v>
      </c>
      <c r="L27" s="22">
        <v>233</v>
      </c>
      <c r="M27" s="22">
        <v>62</v>
      </c>
      <c r="N27" s="22">
        <v>295</v>
      </c>
      <c r="O27" s="23">
        <v>0.11394360757049053</v>
      </c>
    </row>
    <row r="28" spans="1:15" x14ac:dyDescent="0.3">
      <c r="A28" s="1" t="s">
        <v>0</v>
      </c>
      <c r="B28" s="1" t="s">
        <v>25</v>
      </c>
      <c r="C28" s="2">
        <v>2009</v>
      </c>
      <c r="D28" s="3">
        <v>17.899999999999999</v>
      </c>
      <c r="E28" s="3"/>
      <c r="F28" s="3">
        <v>17.899999999999999</v>
      </c>
      <c r="G28" s="22">
        <v>2096</v>
      </c>
      <c r="H28" s="22">
        <v>407</v>
      </c>
      <c r="I28" s="22">
        <v>0</v>
      </c>
      <c r="J28" s="22">
        <v>2503</v>
      </c>
      <c r="K28" s="22">
        <v>139.83240223463687</v>
      </c>
      <c r="L28" s="22">
        <v>61</v>
      </c>
      <c r="M28" s="22">
        <v>9</v>
      </c>
      <c r="N28" s="22">
        <v>70</v>
      </c>
      <c r="O28" s="23">
        <v>2.7966440271673991E-2</v>
      </c>
    </row>
    <row r="29" spans="1:15" x14ac:dyDescent="0.3">
      <c r="A29" s="1" t="s">
        <v>0</v>
      </c>
      <c r="B29" s="1" t="s">
        <v>26</v>
      </c>
      <c r="C29" s="2">
        <v>2009</v>
      </c>
      <c r="D29" s="3">
        <v>15.2</v>
      </c>
      <c r="E29" s="3"/>
      <c r="F29" s="3">
        <v>15.2</v>
      </c>
      <c r="G29" s="22">
        <v>1268</v>
      </c>
      <c r="H29" s="22">
        <v>873</v>
      </c>
      <c r="I29" s="22">
        <v>0</v>
      </c>
      <c r="J29" s="22">
        <v>2141</v>
      </c>
      <c r="K29" s="22">
        <v>140.85526315789474</v>
      </c>
      <c r="L29" s="22">
        <v>30</v>
      </c>
      <c r="M29" s="22">
        <v>9</v>
      </c>
      <c r="N29" s="22">
        <v>39</v>
      </c>
      <c r="O29" s="23">
        <v>1.8215787015413359E-2</v>
      </c>
    </row>
    <row r="30" spans="1:15" x14ac:dyDescent="0.3">
      <c r="A30" s="1" t="s">
        <v>0</v>
      </c>
      <c r="B30" s="1" t="s">
        <v>27</v>
      </c>
      <c r="C30" s="2">
        <v>2009</v>
      </c>
      <c r="D30" s="3">
        <v>12.2</v>
      </c>
      <c r="E30" s="3"/>
      <c r="F30" s="3">
        <v>12.2</v>
      </c>
      <c r="G30" s="22">
        <v>977</v>
      </c>
      <c r="H30" s="22">
        <v>693</v>
      </c>
      <c r="I30" s="22">
        <v>0</v>
      </c>
      <c r="J30" s="22">
        <v>1670</v>
      </c>
      <c r="K30" s="22">
        <v>136.88524590163937</v>
      </c>
      <c r="L30" s="22">
        <v>47</v>
      </c>
      <c r="M30" s="22">
        <v>9</v>
      </c>
      <c r="N30" s="22">
        <v>56</v>
      </c>
      <c r="O30" s="23">
        <v>3.3532934131736525E-2</v>
      </c>
    </row>
    <row r="31" spans="1:15" x14ac:dyDescent="0.3">
      <c r="A31" s="1" t="s">
        <v>0</v>
      </c>
      <c r="B31" s="1" t="s">
        <v>28</v>
      </c>
      <c r="C31" s="2">
        <v>2009</v>
      </c>
      <c r="D31" s="3">
        <v>12</v>
      </c>
      <c r="E31" s="3"/>
      <c r="F31" s="3">
        <v>12</v>
      </c>
      <c r="G31" s="22">
        <v>1541</v>
      </c>
      <c r="H31" s="22">
        <v>156</v>
      </c>
      <c r="I31" s="22">
        <v>0</v>
      </c>
      <c r="J31" s="22">
        <v>1697</v>
      </c>
      <c r="K31" s="22">
        <v>141.41666666666666</v>
      </c>
      <c r="L31" s="22">
        <v>25</v>
      </c>
      <c r="M31" s="22">
        <v>2</v>
      </c>
      <c r="N31" s="22">
        <v>27</v>
      </c>
      <c r="O31" s="23">
        <v>1.5910430170889805E-2</v>
      </c>
    </row>
    <row r="32" spans="1:15" x14ac:dyDescent="0.3">
      <c r="A32" s="1" t="s">
        <v>0</v>
      </c>
      <c r="B32" s="1" t="s">
        <v>29</v>
      </c>
      <c r="C32" s="2">
        <v>2009</v>
      </c>
      <c r="D32" s="3">
        <v>20.5</v>
      </c>
      <c r="E32" s="3"/>
      <c r="F32" s="3">
        <v>20.5</v>
      </c>
      <c r="G32" s="22">
        <v>2030</v>
      </c>
      <c r="H32" s="22">
        <v>409</v>
      </c>
      <c r="I32" s="22">
        <v>0</v>
      </c>
      <c r="J32" s="22">
        <v>2439</v>
      </c>
      <c r="K32" s="22">
        <v>118.97560975609755</v>
      </c>
      <c r="L32" s="22">
        <v>80</v>
      </c>
      <c r="M32" s="22">
        <v>40</v>
      </c>
      <c r="N32" s="22">
        <v>120</v>
      </c>
      <c r="O32" s="23">
        <v>4.9200492004920049E-2</v>
      </c>
    </row>
    <row r="33" spans="1:15" x14ac:dyDescent="0.3">
      <c r="A33" s="1" t="s">
        <v>0</v>
      </c>
      <c r="B33" s="1" t="s">
        <v>30</v>
      </c>
      <c r="C33" s="2">
        <v>2008</v>
      </c>
      <c r="D33" s="3">
        <v>24.9</v>
      </c>
      <c r="E33" s="3"/>
      <c r="F33" s="3">
        <v>24.9</v>
      </c>
      <c r="G33" s="22">
        <v>2493</v>
      </c>
      <c r="H33" s="22">
        <v>465</v>
      </c>
      <c r="I33" s="22">
        <v>0</v>
      </c>
      <c r="J33" s="22">
        <v>2958</v>
      </c>
      <c r="K33" s="22">
        <v>118.79518072289157</v>
      </c>
      <c r="L33" s="22">
        <v>146</v>
      </c>
      <c r="M33" s="22">
        <v>25</v>
      </c>
      <c r="N33" s="22">
        <v>171</v>
      </c>
      <c r="O33" s="23">
        <v>5.7809330628803245E-2</v>
      </c>
    </row>
    <row r="34" spans="1:15" x14ac:dyDescent="0.3">
      <c r="A34" s="1" t="s">
        <v>0</v>
      </c>
      <c r="B34" s="1" t="s">
        <v>31</v>
      </c>
      <c r="C34" s="2">
        <v>2008</v>
      </c>
      <c r="D34" s="3">
        <v>20.2</v>
      </c>
      <c r="E34" s="3"/>
      <c r="F34" s="3">
        <v>20.2</v>
      </c>
      <c r="G34" s="22">
        <v>2212</v>
      </c>
      <c r="H34" s="22">
        <v>243</v>
      </c>
      <c r="I34" s="22">
        <v>0</v>
      </c>
      <c r="J34" s="22">
        <v>2455</v>
      </c>
      <c r="K34" s="22">
        <v>121.53465346534654</v>
      </c>
      <c r="L34" s="22">
        <v>105</v>
      </c>
      <c r="M34" s="22">
        <v>25</v>
      </c>
      <c r="N34" s="22">
        <v>130</v>
      </c>
      <c r="O34" s="23">
        <v>5.2953156822810592E-2</v>
      </c>
    </row>
    <row r="35" spans="1:15" x14ac:dyDescent="0.3">
      <c r="A35" s="1" t="s">
        <v>0</v>
      </c>
      <c r="B35" s="1" t="s">
        <v>32</v>
      </c>
      <c r="C35" s="2">
        <v>2008</v>
      </c>
      <c r="D35" s="3">
        <v>29.6</v>
      </c>
      <c r="E35" s="3"/>
      <c r="F35" s="3">
        <v>29.6</v>
      </c>
      <c r="G35" s="22">
        <v>3603</v>
      </c>
      <c r="H35" s="22">
        <v>142</v>
      </c>
      <c r="I35" s="22">
        <v>0</v>
      </c>
      <c r="J35" s="22">
        <v>3745</v>
      </c>
      <c r="K35" s="22">
        <v>126.52027027027026</v>
      </c>
      <c r="L35" s="22">
        <v>158</v>
      </c>
      <c r="M35" s="22">
        <v>46</v>
      </c>
      <c r="N35" s="22">
        <v>204</v>
      </c>
      <c r="O35" s="23">
        <v>5.4472630173564754E-2</v>
      </c>
    </row>
    <row r="36" spans="1:15" x14ac:dyDescent="0.3">
      <c r="A36" s="1" t="s">
        <v>0</v>
      </c>
      <c r="B36" s="1" t="s">
        <v>33</v>
      </c>
      <c r="C36" s="2">
        <v>2009</v>
      </c>
      <c r="D36" s="3">
        <v>25.2</v>
      </c>
      <c r="E36" s="3"/>
      <c r="F36" s="3">
        <v>25.2</v>
      </c>
      <c r="G36" s="22">
        <v>1852</v>
      </c>
      <c r="H36" s="22">
        <v>751</v>
      </c>
      <c r="I36" s="22">
        <v>0</v>
      </c>
      <c r="J36" s="22">
        <v>2603</v>
      </c>
      <c r="K36" s="22">
        <v>103.2936507936508</v>
      </c>
      <c r="L36" s="22">
        <v>225</v>
      </c>
      <c r="M36" s="22">
        <v>73</v>
      </c>
      <c r="N36" s="22">
        <v>298</v>
      </c>
      <c r="O36" s="23">
        <v>0.11448328851325394</v>
      </c>
    </row>
    <row r="37" spans="1:15" x14ac:dyDescent="0.3">
      <c r="A37" s="1" t="s">
        <v>0</v>
      </c>
      <c r="B37" s="1" t="s">
        <v>34</v>
      </c>
      <c r="C37" s="2">
        <v>2009</v>
      </c>
      <c r="D37" s="3">
        <v>25</v>
      </c>
      <c r="E37" s="3"/>
      <c r="F37" s="3">
        <v>25</v>
      </c>
      <c r="G37" s="22">
        <v>2021</v>
      </c>
      <c r="H37" s="22">
        <v>763</v>
      </c>
      <c r="I37" s="22">
        <v>0</v>
      </c>
      <c r="J37" s="22">
        <v>2784</v>
      </c>
      <c r="K37" s="22">
        <v>111.36</v>
      </c>
      <c r="L37" s="22">
        <v>195</v>
      </c>
      <c r="M37" s="22">
        <v>48</v>
      </c>
      <c r="N37" s="22">
        <v>243</v>
      </c>
      <c r="O37" s="23">
        <v>8.7284482758620691E-2</v>
      </c>
    </row>
    <row r="38" spans="1:15" x14ac:dyDescent="0.3">
      <c r="A38" s="1" t="s">
        <v>0</v>
      </c>
      <c r="B38" s="1" t="s">
        <v>35</v>
      </c>
      <c r="C38" s="2">
        <v>2009</v>
      </c>
      <c r="D38" s="3">
        <v>20.5</v>
      </c>
      <c r="E38" s="3"/>
      <c r="F38" s="3">
        <v>20.5</v>
      </c>
      <c r="G38" s="22">
        <v>1512</v>
      </c>
      <c r="H38" s="22">
        <v>912</v>
      </c>
      <c r="I38" s="22">
        <v>0</v>
      </c>
      <c r="J38" s="22">
        <v>2424</v>
      </c>
      <c r="K38" s="22">
        <v>118.2439024390244</v>
      </c>
      <c r="L38" s="22">
        <v>193</v>
      </c>
      <c r="M38" s="22">
        <v>31</v>
      </c>
      <c r="N38" s="22">
        <v>224</v>
      </c>
      <c r="O38" s="23">
        <v>9.2409240924092403E-2</v>
      </c>
    </row>
    <row r="39" spans="1:15" x14ac:dyDescent="0.3">
      <c r="A39" s="1" t="s">
        <v>0</v>
      </c>
      <c r="B39" s="1" t="s">
        <v>36</v>
      </c>
      <c r="C39" s="2">
        <v>2009</v>
      </c>
      <c r="D39" s="3">
        <v>24.7</v>
      </c>
      <c r="E39" s="3"/>
      <c r="F39" s="3">
        <v>24.7</v>
      </c>
      <c r="G39" s="22">
        <v>2578</v>
      </c>
      <c r="H39" s="22">
        <v>456</v>
      </c>
      <c r="I39" s="22">
        <v>0</v>
      </c>
      <c r="J39" s="22">
        <v>3034</v>
      </c>
      <c r="K39" s="22">
        <v>122.83400809716599</v>
      </c>
      <c r="L39" s="22">
        <v>181</v>
      </c>
      <c r="M39" s="22">
        <v>44</v>
      </c>
      <c r="N39" s="22">
        <v>225</v>
      </c>
      <c r="O39" s="23">
        <v>7.4159525379037569E-2</v>
      </c>
    </row>
    <row r="40" spans="1:15" x14ac:dyDescent="0.3">
      <c r="A40" s="1" t="s">
        <v>37</v>
      </c>
      <c r="B40" s="1" t="s">
        <v>38</v>
      </c>
      <c r="C40" s="2">
        <v>2016</v>
      </c>
      <c r="D40" s="3">
        <v>3.1</v>
      </c>
      <c r="E40" s="3"/>
      <c r="F40" s="3">
        <v>3.1</v>
      </c>
      <c r="G40" s="22">
        <v>235</v>
      </c>
      <c r="H40" s="22">
        <v>172</v>
      </c>
      <c r="I40" s="22">
        <v>0</v>
      </c>
      <c r="J40" s="22">
        <f>SUM(407,J115)</f>
        <v>3774</v>
      </c>
      <c r="K40" s="22">
        <v>131.29032258064515</v>
      </c>
      <c r="L40" s="22">
        <v>0</v>
      </c>
      <c r="M40" s="22">
        <v>0</v>
      </c>
      <c r="N40" s="22">
        <v>0</v>
      </c>
      <c r="O40" s="23">
        <v>0</v>
      </c>
    </row>
    <row r="41" spans="1:15" x14ac:dyDescent="0.3">
      <c r="A41" s="1" t="s">
        <v>37</v>
      </c>
      <c r="B41" s="1" t="s">
        <v>39</v>
      </c>
      <c r="C41" s="2">
        <v>2018</v>
      </c>
      <c r="D41" s="3">
        <v>5.6999999999999993</v>
      </c>
      <c r="E41" s="3"/>
      <c r="F41" s="3">
        <v>5.6999999999999993</v>
      </c>
      <c r="G41" s="22">
        <v>377</v>
      </c>
      <c r="H41" s="22">
        <v>428</v>
      </c>
      <c r="I41" s="22">
        <v>0</v>
      </c>
      <c r="J41" s="22">
        <v>805</v>
      </c>
      <c r="K41" s="22">
        <v>141.2280701754386</v>
      </c>
      <c r="L41" s="22">
        <v>0</v>
      </c>
      <c r="M41" s="22">
        <v>0</v>
      </c>
      <c r="N41" s="22">
        <v>0</v>
      </c>
      <c r="O41" s="23">
        <v>0</v>
      </c>
    </row>
    <row r="42" spans="1:15" x14ac:dyDescent="0.3">
      <c r="A42" s="1" t="s">
        <v>37</v>
      </c>
      <c r="B42" s="1" t="s">
        <v>40</v>
      </c>
      <c r="C42" s="2">
        <v>2021</v>
      </c>
      <c r="D42" s="3">
        <v>0.30000000000000004</v>
      </c>
      <c r="E42" s="3"/>
      <c r="F42" s="3">
        <v>0.30000000000000004</v>
      </c>
      <c r="G42" s="22">
        <v>37</v>
      </c>
      <c r="H42" s="22">
        <v>4</v>
      </c>
      <c r="I42" s="22">
        <v>0</v>
      </c>
      <c r="J42" s="22">
        <v>41</v>
      </c>
      <c r="K42" s="22">
        <v>136.66666666666666</v>
      </c>
      <c r="L42" s="22">
        <v>0</v>
      </c>
      <c r="M42" s="22">
        <v>0</v>
      </c>
      <c r="N42" s="22">
        <v>0</v>
      </c>
      <c r="O42" s="23">
        <v>0</v>
      </c>
    </row>
    <row r="43" spans="1:15" x14ac:dyDescent="0.3">
      <c r="A43" s="1" t="s">
        <v>37</v>
      </c>
      <c r="B43" s="1" t="s">
        <v>41</v>
      </c>
      <c r="C43" s="2">
        <v>0</v>
      </c>
      <c r="D43" s="3">
        <v>0</v>
      </c>
      <c r="E43" s="3"/>
      <c r="F43" s="3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3">
        <v>0</v>
      </c>
    </row>
    <row r="44" spans="1:15" x14ac:dyDescent="0.3">
      <c r="A44" s="1" t="s">
        <v>37</v>
      </c>
      <c r="B44" s="1" t="s">
        <v>42</v>
      </c>
      <c r="C44" s="2">
        <v>2016</v>
      </c>
      <c r="D44" s="3">
        <v>0.3</v>
      </c>
      <c r="E44" s="3"/>
      <c r="F44" s="3">
        <v>0.3</v>
      </c>
      <c r="G44" s="22">
        <v>11</v>
      </c>
      <c r="H44" s="22">
        <v>10</v>
      </c>
      <c r="I44" s="22">
        <v>0</v>
      </c>
      <c r="J44" s="22">
        <v>21</v>
      </c>
      <c r="K44" s="22">
        <v>70</v>
      </c>
      <c r="L44" s="22">
        <v>0</v>
      </c>
      <c r="M44" s="22">
        <v>0</v>
      </c>
      <c r="N44" s="22">
        <v>0</v>
      </c>
      <c r="O44" s="23">
        <v>0</v>
      </c>
    </row>
    <row r="45" spans="1:15" x14ac:dyDescent="0.3">
      <c r="A45" s="1" t="s">
        <v>37</v>
      </c>
      <c r="B45" s="1" t="s">
        <v>43</v>
      </c>
      <c r="C45" s="2">
        <v>2018</v>
      </c>
      <c r="D45" s="3">
        <v>8.1</v>
      </c>
      <c r="E45" s="3"/>
      <c r="F45" s="3">
        <v>8.1</v>
      </c>
      <c r="G45" s="22">
        <v>1157</v>
      </c>
      <c r="H45" s="22">
        <v>49</v>
      </c>
      <c r="I45" s="22">
        <v>0</v>
      </c>
      <c r="J45" s="22">
        <v>1206</v>
      </c>
      <c r="K45" s="22">
        <v>148.88888888888889</v>
      </c>
      <c r="L45" s="22">
        <v>1</v>
      </c>
      <c r="M45" s="22">
        <v>0</v>
      </c>
      <c r="N45" s="22">
        <v>1</v>
      </c>
      <c r="O45" s="23">
        <v>8.2918739635157548E-4</v>
      </c>
    </row>
    <row r="46" spans="1:15" x14ac:dyDescent="0.3">
      <c r="A46" s="1" t="s">
        <v>37</v>
      </c>
      <c r="B46" s="1" t="s">
        <v>44</v>
      </c>
      <c r="C46" s="2">
        <v>2020</v>
      </c>
      <c r="D46" s="3">
        <v>0.1</v>
      </c>
      <c r="E46" s="3"/>
      <c r="F46" s="3">
        <v>0.1</v>
      </c>
      <c r="G46" s="22">
        <v>7</v>
      </c>
      <c r="H46" s="22">
        <v>0</v>
      </c>
      <c r="I46" s="22">
        <v>0</v>
      </c>
      <c r="J46" s="22">
        <v>7</v>
      </c>
      <c r="K46" s="22">
        <v>70</v>
      </c>
      <c r="L46" s="22">
        <v>0</v>
      </c>
      <c r="M46" s="22">
        <v>0</v>
      </c>
      <c r="N46" s="22">
        <v>0</v>
      </c>
      <c r="O46" s="23">
        <v>0</v>
      </c>
    </row>
    <row r="47" spans="1:15" x14ac:dyDescent="0.3">
      <c r="A47" s="1" t="s">
        <v>37</v>
      </c>
      <c r="B47" s="1" t="s">
        <v>45</v>
      </c>
      <c r="C47" s="2">
        <v>2021</v>
      </c>
      <c r="D47" s="3">
        <v>1.9</v>
      </c>
      <c r="E47" s="3"/>
      <c r="F47" s="3">
        <v>1.9</v>
      </c>
      <c r="G47" s="22">
        <v>205</v>
      </c>
      <c r="H47" s="22">
        <v>19</v>
      </c>
      <c r="I47" s="22">
        <v>0</v>
      </c>
      <c r="J47" s="22">
        <v>224</v>
      </c>
      <c r="K47" s="22">
        <v>117.89473684210527</v>
      </c>
      <c r="L47" s="22">
        <v>0</v>
      </c>
      <c r="M47" s="22">
        <v>0</v>
      </c>
      <c r="N47" s="22">
        <v>0</v>
      </c>
      <c r="O47" s="23">
        <v>0</v>
      </c>
    </row>
    <row r="48" spans="1:15" x14ac:dyDescent="0.3">
      <c r="A48" s="1" t="s">
        <v>37</v>
      </c>
      <c r="B48" s="1" t="s">
        <v>46</v>
      </c>
      <c r="C48" s="2">
        <v>0</v>
      </c>
      <c r="D48" s="3">
        <v>0</v>
      </c>
      <c r="E48" s="3"/>
      <c r="F48" s="3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3">
        <v>0</v>
      </c>
    </row>
    <row r="49" spans="1:15" x14ac:dyDescent="0.3">
      <c r="A49" s="1" t="s">
        <v>37</v>
      </c>
      <c r="B49" s="1" t="s">
        <v>47</v>
      </c>
      <c r="C49" s="2">
        <v>2017</v>
      </c>
      <c r="D49" s="3">
        <v>8.6999999999999993</v>
      </c>
      <c r="E49" s="3"/>
      <c r="F49" s="3">
        <v>8.6999999999999993</v>
      </c>
      <c r="G49" s="22">
        <v>1218</v>
      </c>
      <c r="H49" s="22">
        <v>0</v>
      </c>
      <c r="I49" s="22">
        <v>28</v>
      </c>
      <c r="J49" s="22">
        <v>1246</v>
      </c>
      <c r="K49" s="22">
        <v>143.2183908045977</v>
      </c>
      <c r="L49" s="22">
        <v>1</v>
      </c>
      <c r="M49" s="22">
        <v>0</v>
      </c>
      <c r="N49" s="22">
        <v>1</v>
      </c>
      <c r="O49" s="23">
        <v>8.0256821829855537E-4</v>
      </c>
    </row>
    <row r="50" spans="1:15" x14ac:dyDescent="0.3">
      <c r="A50" s="1" t="s">
        <v>37</v>
      </c>
      <c r="B50" s="1" t="s">
        <v>48</v>
      </c>
      <c r="C50" s="2">
        <v>2018</v>
      </c>
      <c r="D50" s="3">
        <v>4.3</v>
      </c>
      <c r="E50" s="3"/>
      <c r="F50" s="3">
        <v>4.3</v>
      </c>
      <c r="G50" s="22">
        <v>583</v>
      </c>
      <c r="H50" s="22">
        <v>37</v>
      </c>
      <c r="I50" s="22">
        <v>0</v>
      </c>
      <c r="J50" s="22">
        <v>620</v>
      </c>
      <c r="K50" s="22">
        <v>144.18604651162792</v>
      </c>
      <c r="L50" s="22">
        <v>0</v>
      </c>
      <c r="M50" s="22">
        <v>0</v>
      </c>
      <c r="N50" s="22">
        <v>0</v>
      </c>
      <c r="O50" s="23">
        <v>0</v>
      </c>
    </row>
    <row r="51" spans="1:15" x14ac:dyDescent="0.3">
      <c r="A51" s="1" t="s">
        <v>37</v>
      </c>
      <c r="B51" s="1" t="s">
        <v>49</v>
      </c>
      <c r="C51" s="2">
        <v>2020</v>
      </c>
      <c r="D51" s="3">
        <v>0.8</v>
      </c>
      <c r="E51" s="3"/>
      <c r="F51" s="3">
        <v>0.8</v>
      </c>
      <c r="G51" s="22">
        <v>104</v>
      </c>
      <c r="H51" s="22">
        <v>11</v>
      </c>
      <c r="I51" s="22">
        <v>0</v>
      </c>
      <c r="J51" s="22">
        <v>115</v>
      </c>
      <c r="K51" s="22">
        <v>143.75</v>
      </c>
      <c r="L51" s="22">
        <v>0</v>
      </c>
      <c r="M51" s="22">
        <v>0</v>
      </c>
      <c r="N51" s="22">
        <v>0</v>
      </c>
      <c r="O51" s="23">
        <v>0</v>
      </c>
    </row>
    <row r="52" spans="1:15" x14ac:dyDescent="0.3">
      <c r="A52" s="1" t="s">
        <v>37</v>
      </c>
      <c r="B52" s="1" t="s">
        <v>50</v>
      </c>
      <c r="C52" s="2">
        <v>0</v>
      </c>
      <c r="D52" s="3">
        <v>0</v>
      </c>
      <c r="E52" s="3"/>
      <c r="F52" s="3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3">
        <v>0</v>
      </c>
    </row>
    <row r="53" spans="1:15" x14ac:dyDescent="0.3">
      <c r="A53" s="1" t="s">
        <v>37</v>
      </c>
      <c r="B53" s="1" t="s">
        <v>51</v>
      </c>
      <c r="C53" s="2">
        <v>2013</v>
      </c>
      <c r="D53" s="3">
        <v>3.7</v>
      </c>
      <c r="E53" s="3"/>
      <c r="F53" s="3">
        <v>3.7</v>
      </c>
      <c r="G53" s="22">
        <v>61</v>
      </c>
      <c r="H53" s="22">
        <v>424</v>
      </c>
      <c r="I53" s="22">
        <v>0</v>
      </c>
      <c r="J53" s="22">
        <v>485</v>
      </c>
      <c r="K53" s="22">
        <v>131.08108108108107</v>
      </c>
      <c r="L53" s="22">
        <v>1</v>
      </c>
      <c r="M53" s="22">
        <v>0</v>
      </c>
      <c r="N53" s="22">
        <v>1</v>
      </c>
      <c r="O53" s="23">
        <v>2.0618556701030928E-3</v>
      </c>
    </row>
    <row r="54" spans="1:15" x14ac:dyDescent="0.3">
      <c r="A54" s="1" t="s">
        <v>37</v>
      </c>
      <c r="B54" s="1" t="s">
        <v>52</v>
      </c>
      <c r="C54" s="2">
        <v>2018</v>
      </c>
      <c r="D54" s="3">
        <v>1.2</v>
      </c>
      <c r="E54" s="3"/>
      <c r="F54" s="3">
        <v>1.2</v>
      </c>
      <c r="G54" s="22">
        <v>103</v>
      </c>
      <c r="H54" s="22">
        <v>12</v>
      </c>
      <c r="I54" s="22">
        <v>0</v>
      </c>
      <c r="J54" s="22">
        <v>115</v>
      </c>
      <c r="K54" s="22">
        <v>95.833333333333343</v>
      </c>
      <c r="L54" s="22">
        <v>0</v>
      </c>
      <c r="M54" s="22">
        <v>0</v>
      </c>
      <c r="N54" s="22">
        <v>0</v>
      </c>
      <c r="O54" s="23">
        <v>0</v>
      </c>
    </row>
    <row r="55" spans="1:15" x14ac:dyDescent="0.3">
      <c r="A55" s="1" t="s">
        <v>37</v>
      </c>
      <c r="B55" s="1" t="s">
        <v>53</v>
      </c>
      <c r="C55" s="2">
        <v>2022</v>
      </c>
      <c r="D55" s="3">
        <v>1.9</v>
      </c>
      <c r="E55" s="3"/>
      <c r="F55" s="3">
        <v>1.9</v>
      </c>
      <c r="G55" s="22">
        <v>223</v>
      </c>
      <c r="H55" s="22">
        <v>26</v>
      </c>
      <c r="I55" s="22">
        <v>0</v>
      </c>
      <c r="J55" s="22">
        <v>249</v>
      </c>
      <c r="K55" s="22">
        <v>131.05263157894737</v>
      </c>
      <c r="L55" s="22">
        <v>0</v>
      </c>
      <c r="M55" s="22">
        <v>0</v>
      </c>
      <c r="N55" s="22">
        <v>0</v>
      </c>
      <c r="O55" s="23">
        <v>0</v>
      </c>
    </row>
    <row r="56" spans="1:15" x14ac:dyDescent="0.3">
      <c r="A56" s="1" t="s">
        <v>37</v>
      </c>
      <c r="B56" s="1" t="s">
        <v>54</v>
      </c>
      <c r="C56" s="2">
        <v>2013</v>
      </c>
      <c r="D56" s="3">
        <v>10.4</v>
      </c>
      <c r="E56" s="3"/>
      <c r="F56" s="3">
        <v>10.4</v>
      </c>
      <c r="G56" s="22">
        <v>669</v>
      </c>
      <c r="H56" s="22">
        <v>568</v>
      </c>
      <c r="I56" s="22">
        <v>0</v>
      </c>
      <c r="J56" s="22">
        <v>1237</v>
      </c>
      <c r="K56" s="22">
        <v>118.94230769230769</v>
      </c>
      <c r="L56" s="22">
        <v>65</v>
      </c>
      <c r="M56" s="22">
        <v>22</v>
      </c>
      <c r="N56" s="22">
        <v>87</v>
      </c>
      <c r="O56" s="23">
        <v>7.0331447049312851E-2</v>
      </c>
    </row>
    <row r="57" spans="1:15" x14ac:dyDescent="0.3">
      <c r="A57" s="1" t="s">
        <v>37</v>
      </c>
      <c r="B57" s="1" t="s">
        <v>55</v>
      </c>
      <c r="C57" s="2">
        <v>2017</v>
      </c>
      <c r="D57" s="3">
        <v>3</v>
      </c>
      <c r="E57" s="3"/>
      <c r="F57" s="3">
        <v>3</v>
      </c>
      <c r="G57" s="22">
        <v>392</v>
      </c>
      <c r="H57" s="22">
        <v>17</v>
      </c>
      <c r="I57" s="22">
        <v>0</v>
      </c>
      <c r="J57" s="22">
        <v>409</v>
      </c>
      <c r="K57" s="22">
        <v>136.33333333333334</v>
      </c>
      <c r="L57" s="22">
        <v>0</v>
      </c>
      <c r="M57" s="22">
        <v>0</v>
      </c>
      <c r="N57" s="22">
        <v>0</v>
      </c>
      <c r="O57" s="23">
        <v>0</v>
      </c>
    </row>
    <row r="58" spans="1:15" x14ac:dyDescent="0.3">
      <c r="A58" s="1" t="s">
        <v>37</v>
      </c>
      <c r="B58" s="1" t="s">
        <v>56</v>
      </c>
      <c r="C58" s="2">
        <v>2019</v>
      </c>
      <c r="D58" s="3">
        <v>2.6999999999999997</v>
      </c>
      <c r="E58" s="3"/>
      <c r="F58" s="3">
        <v>2.6999999999999997</v>
      </c>
      <c r="G58" s="22">
        <v>301</v>
      </c>
      <c r="H58" s="22">
        <v>93</v>
      </c>
      <c r="I58" s="22">
        <v>0</v>
      </c>
      <c r="J58" s="22">
        <v>394</v>
      </c>
      <c r="K58" s="22">
        <v>145.92592592592595</v>
      </c>
      <c r="L58" s="22">
        <v>0</v>
      </c>
      <c r="M58" s="22">
        <v>0</v>
      </c>
      <c r="N58" s="22">
        <v>0</v>
      </c>
      <c r="O58" s="23">
        <v>0</v>
      </c>
    </row>
    <row r="59" spans="1:15" x14ac:dyDescent="0.3">
      <c r="A59" s="1" t="s">
        <v>37</v>
      </c>
      <c r="B59" s="1" t="s">
        <v>57</v>
      </c>
      <c r="C59" s="2">
        <v>2012</v>
      </c>
      <c r="D59" s="3">
        <v>9.7000000000000011</v>
      </c>
      <c r="E59" s="3"/>
      <c r="F59" s="3">
        <v>9.7000000000000011</v>
      </c>
      <c r="G59" s="22">
        <v>864</v>
      </c>
      <c r="H59" s="22">
        <v>333</v>
      </c>
      <c r="I59" s="22">
        <v>5</v>
      </c>
      <c r="J59" s="22">
        <v>1202</v>
      </c>
      <c r="K59" s="22">
        <v>123.91752577319586</v>
      </c>
      <c r="L59" s="22">
        <v>58</v>
      </c>
      <c r="M59" s="22">
        <v>13</v>
      </c>
      <c r="N59" s="22">
        <v>71</v>
      </c>
      <c r="O59" s="23">
        <v>5.9068219633943431E-2</v>
      </c>
    </row>
    <row r="60" spans="1:15" x14ac:dyDescent="0.3">
      <c r="A60" s="1" t="s">
        <v>37</v>
      </c>
      <c r="B60" s="1" t="s">
        <v>58</v>
      </c>
      <c r="C60" s="2">
        <v>2017</v>
      </c>
      <c r="D60" s="3">
        <v>6.7</v>
      </c>
      <c r="E60" s="3"/>
      <c r="F60" s="3">
        <v>6.7</v>
      </c>
      <c r="G60" s="22">
        <v>919</v>
      </c>
      <c r="H60" s="22">
        <v>11</v>
      </c>
      <c r="I60" s="22">
        <v>6</v>
      </c>
      <c r="J60" s="22">
        <v>936</v>
      </c>
      <c r="K60" s="22">
        <v>139.70149253731344</v>
      </c>
      <c r="L60" s="22">
        <v>0</v>
      </c>
      <c r="M60" s="22">
        <v>0</v>
      </c>
      <c r="N60" s="22">
        <v>0</v>
      </c>
      <c r="O60" s="23">
        <v>0</v>
      </c>
    </row>
    <row r="61" spans="1:15" x14ac:dyDescent="0.3">
      <c r="A61" s="1" t="s">
        <v>37</v>
      </c>
      <c r="B61" s="1" t="s">
        <v>59</v>
      </c>
      <c r="C61" s="2">
        <v>2019</v>
      </c>
      <c r="D61" s="3">
        <v>1.8</v>
      </c>
      <c r="E61" s="3"/>
      <c r="F61" s="3">
        <v>1.8</v>
      </c>
      <c r="G61" s="22">
        <v>210</v>
      </c>
      <c r="H61" s="22">
        <v>21</v>
      </c>
      <c r="I61" s="22">
        <v>0</v>
      </c>
      <c r="J61" s="22">
        <v>231</v>
      </c>
      <c r="K61" s="22">
        <v>128.33333333333334</v>
      </c>
      <c r="L61" s="22">
        <v>0</v>
      </c>
      <c r="M61" s="22">
        <v>0</v>
      </c>
      <c r="N61" s="22">
        <v>0</v>
      </c>
      <c r="O61" s="23">
        <v>0</v>
      </c>
    </row>
    <row r="62" spans="1:15" x14ac:dyDescent="0.3">
      <c r="A62" s="1" t="s">
        <v>37</v>
      </c>
      <c r="B62" s="1" t="s">
        <v>60</v>
      </c>
      <c r="C62" s="2">
        <v>2013</v>
      </c>
      <c r="D62" s="3">
        <v>8.5</v>
      </c>
      <c r="E62" s="3"/>
      <c r="F62" s="3">
        <v>8.5</v>
      </c>
      <c r="G62" s="22">
        <v>756</v>
      </c>
      <c r="H62" s="22">
        <v>218</v>
      </c>
      <c r="I62" s="22">
        <v>0</v>
      </c>
      <c r="J62" s="22">
        <v>974</v>
      </c>
      <c r="K62" s="22">
        <v>114.58823529411765</v>
      </c>
      <c r="L62" s="22">
        <v>25</v>
      </c>
      <c r="M62" s="22">
        <v>5</v>
      </c>
      <c r="N62" s="22">
        <v>30</v>
      </c>
      <c r="O62" s="23">
        <v>3.0800821355236138E-2</v>
      </c>
    </row>
    <row r="63" spans="1:15" x14ac:dyDescent="0.3">
      <c r="A63" s="1" t="s">
        <v>37</v>
      </c>
      <c r="B63" s="1" t="s">
        <v>61</v>
      </c>
      <c r="C63" s="2">
        <v>2017</v>
      </c>
      <c r="D63" s="3">
        <v>5</v>
      </c>
      <c r="E63" s="3"/>
      <c r="F63" s="3">
        <v>5</v>
      </c>
      <c r="G63" s="22">
        <v>542</v>
      </c>
      <c r="H63" s="22">
        <v>11</v>
      </c>
      <c r="I63" s="22">
        <v>0</v>
      </c>
      <c r="J63" s="22">
        <v>553</v>
      </c>
      <c r="K63" s="22">
        <v>110.6</v>
      </c>
      <c r="L63" s="22">
        <v>6</v>
      </c>
      <c r="M63" s="22">
        <v>0</v>
      </c>
      <c r="N63" s="22">
        <v>6</v>
      </c>
      <c r="O63" s="23">
        <v>1.0849909584086799E-2</v>
      </c>
    </row>
    <row r="64" spans="1:15" x14ac:dyDescent="0.3">
      <c r="A64" s="1" t="s">
        <v>37</v>
      </c>
      <c r="B64" s="1" t="s">
        <v>62</v>
      </c>
      <c r="C64" s="2">
        <v>2016</v>
      </c>
      <c r="D64" s="3">
        <v>26.000000000000004</v>
      </c>
      <c r="E64" s="3"/>
      <c r="F64" s="3">
        <v>26.000000000000004</v>
      </c>
      <c r="G64" s="22">
        <v>2512</v>
      </c>
      <c r="H64" s="22">
        <v>1062</v>
      </c>
      <c r="I64" s="22">
        <v>0</v>
      </c>
      <c r="J64" s="22">
        <v>3574</v>
      </c>
      <c r="K64" s="22">
        <v>137.46153846153845</v>
      </c>
      <c r="L64" s="22">
        <v>13</v>
      </c>
      <c r="M64" s="22">
        <v>1</v>
      </c>
      <c r="N64" s="22">
        <v>14</v>
      </c>
      <c r="O64" s="23">
        <v>3.9171796306659203E-3</v>
      </c>
    </row>
    <row r="65" spans="1:15" x14ac:dyDescent="0.3">
      <c r="A65" s="1" t="s">
        <v>37</v>
      </c>
      <c r="B65" s="1" t="s">
        <v>63</v>
      </c>
      <c r="C65" s="2">
        <v>2018</v>
      </c>
      <c r="D65" s="3">
        <v>3.5</v>
      </c>
      <c r="E65" s="3"/>
      <c r="F65" s="3">
        <v>3.5</v>
      </c>
      <c r="G65" s="22">
        <v>293</v>
      </c>
      <c r="H65" s="22">
        <v>199</v>
      </c>
      <c r="I65" s="22">
        <v>1</v>
      </c>
      <c r="J65" s="22">
        <v>493</v>
      </c>
      <c r="K65" s="22">
        <v>140.85714285714286</v>
      </c>
      <c r="L65" s="22">
        <v>0</v>
      </c>
      <c r="M65" s="22">
        <v>0</v>
      </c>
      <c r="N65" s="22">
        <v>0</v>
      </c>
      <c r="O65" s="23">
        <v>0</v>
      </c>
    </row>
    <row r="66" spans="1:15" x14ac:dyDescent="0.3">
      <c r="A66" s="1" t="s">
        <v>37</v>
      </c>
      <c r="B66" s="1" t="s">
        <v>64</v>
      </c>
      <c r="C66" s="2">
        <v>2019</v>
      </c>
      <c r="D66" s="3">
        <v>0.4</v>
      </c>
      <c r="E66" s="3"/>
      <c r="F66" s="3">
        <v>0.4</v>
      </c>
      <c r="G66" s="22">
        <v>61</v>
      </c>
      <c r="H66" s="22">
        <v>9</v>
      </c>
      <c r="I66" s="22">
        <v>0</v>
      </c>
      <c r="J66" s="22">
        <v>70</v>
      </c>
      <c r="K66" s="22">
        <v>175</v>
      </c>
      <c r="L66" s="22">
        <v>0</v>
      </c>
      <c r="M66" s="22">
        <v>0</v>
      </c>
      <c r="N66" s="22">
        <v>0</v>
      </c>
      <c r="O66" s="23">
        <v>0</v>
      </c>
    </row>
    <row r="67" spans="1:15" x14ac:dyDescent="0.3">
      <c r="A67" s="1" t="s">
        <v>37</v>
      </c>
      <c r="B67" s="1" t="s">
        <v>65</v>
      </c>
      <c r="C67" s="2">
        <v>2025</v>
      </c>
      <c r="D67" s="3">
        <v>0</v>
      </c>
      <c r="E67" s="3">
        <v>1.1000000000000001</v>
      </c>
      <c r="F67" s="3">
        <v>1.1000000000000001</v>
      </c>
      <c r="G67" s="22">
        <v>149</v>
      </c>
      <c r="H67" s="22">
        <v>0</v>
      </c>
      <c r="I67" s="22">
        <v>0</v>
      </c>
      <c r="J67" s="22">
        <v>149</v>
      </c>
      <c r="K67" s="22">
        <v>135.45454545454544</v>
      </c>
      <c r="L67" s="22">
        <v>0</v>
      </c>
      <c r="M67" s="22">
        <v>0</v>
      </c>
      <c r="N67" s="22">
        <v>0</v>
      </c>
      <c r="O67" s="23">
        <v>0</v>
      </c>
    </row>
    <row r="68" spans="1:15" x14ac:dyDescent="0.3">
      <c r="A68" s="1" t="s">
        <v>37</v>
      </c>
      <c r="B68" s="1" t="s">
        <v>66</v>
      </c>
      <c r="C68" s="2">
        <v>2016</v>
      </c>
      <c r="D68" s="3">
        <v>25.2</v>
      </c>
      <c r="E68" s="3"/>
      <c r="F68" s="3">
        <v>25.2</v>
      </c>
      <c r="G68" s="22">
        <v>2540</v>
      </c>
      <c r="H68" s="22">
        <v>713</v>
      </c>
      <c r="I68" s="22">
        <v>22</v>
      </c>
      <c r="J68" s="22">
        <v>3275</v>
      </c>
      <c r="K68" s="22">
        <v>129.96031746031747</v>
      </c>
      <c r="L68" s="22">
        <v>20</v>
      </c>
      <c r="M68" s="22">
        <v>3</v>
      </c>
      <c r="N68" s="22">
        <v>23</v>
      </c>
      <c r="O68" s="23">
        <v>7.0229007633587784E-3</v>
      </c>
    </row>
    <row r="69" spans="1:15" x14ac:dyDescent="0.3">
      <c r="A69" s="1" t="s">
        <v>37</v>
      </c>
      <c r="B69" s="1" t="s">
        <v>67</v>
      </c>
      <c r="C69" s="2">
        <v>2018</v>
      </c>
      <c r="D69" s="3">
        <v>2.4</v>
      </c>
      <c r="E69" s="3"/>
      <c r="F69" s="3">
        <v>2.4</v>
      </c>
      <c r="G69" s="22">
        <v>294</v>
      </c>
      <c r="H69" s="22">
        <v>33</v>
      </c>
      <c r="I69" s="22">
        <v>0</v>
      </c>
      <c r="J69" s="22">
        <v>327</v>
      </c>
      <c r="K69" s="22">
        <v>136.25</v>
      </c>
      <c r="L69" s="22">
        <v>0</v>
      </c>
      <c r="M69" s="22">
        <v>0</v>
      </c>
      <c r="N69" s="22">
        <v>0</v>
      </c>
      <c r="O69" s="23">
        <v>0</v>
      </c>
    </row>
    <row r="70" spans="1:15" x14ac:dyDescent="0.3">
      <c r="A70" s="1" t="s">
        <v>37</v>
      </c>
      <c r="B70" s="1" t="s">
        <v>68</v>
      </c>
      <c r="C70" s="2">
        <v>2025</v>
      </c>
      <c r="D70" s="3">
        <v>0</v>
      </c>
      <c r="E70" s="3">
        <v>0.9</v>
      </c>
      <c r="F70" s="3">
        <v>0.9</v>
      </c>
      <c r="G70" s="22">
        <v>134</v>
      </c>
      <c r="H70" s="22">
        <v>0</v>
      </c>
      <c r="I70" s="22">
        <v>0</v>
      </c>
      <c r="J70" s="22">
        <v>134</v>
      </c>
      <c r="K70" s="22">
        <v>148.88888888888889</v>
      </c>
      <c r="L70" s="22">
        <v>0</v>
      </c>
      <c r="M70" s="22">
        <v>0</v>
      </c>
      <c r="N70" s="22">
        <v>0</v>
      </c>
      <c r="O70" s="23">
        <v>0</v>
      </c>
    </row>
    <row r="71" spans="1:15" x14ac:dyDescent="0.3">
      <c r="A71" s="1" t="s">
        <v>37</v>
      </c>
      <c r="B71" s="1" t="s">
        <v>69</v>
      </c>
      <c r="C71" s="2">
        <v>2013</v>
      </c>
      <c r="D71" s="3">
        <v>4</v>
      </c>
      <c r="E71" s="3"/>
      <c r="F71" s="3">
        <v>4</v>
      </c>
      <c r="G71" s="22">
        <v>517</v>
      </c>
      <c r="H71" s="22">
        <v>0</v>
      </c>
      <c r="I71" s="22">
        <v>0</v>
      </c>
      <c r="J71" s="22">
        <v>517</v>
      </c>
      <c r="K71" s="22">
        <v>129.25</v>
      </c>
      <c r="L71" s="22">
        <v>50</v>
      </c>
      <c r="M71" s="22">
        <v>18</v>
      </c>
      <c r="N71" s="22">
        <v>68</v>
      </c>
      <c r="O71" s="23">
        <v>0.13152804642166344</v>
      </c>
    </row>
    <row r="72" spans="1:15" x14ac:dyDescent="0.3">
      <c r="A72" s="1" t="s">
        <v>37</v>
      </c>
      <c r="B72" s="1" t="s">
        <v>70</v>
      </c>
      <c r="C72" s="2">
        <v>2018</v>
      </c>
      <c r="D72" s="3">
        <v>5.0999999999999996</v>
      </c>
      <c r="E72" s="3"/>
      <c r="F72" s="3">
        <v>5.0999999999999996</v>
      </c>
      <c r="G72" s="22">
        <v>712</v>
      </c>
      <c r="H72" s="22">
        <v>40</v>
      </c>
      <c r="I72" s="22">
        <v>0</v>
      </c>
      <c r="J72" s="22">
        <v>752</v>
      </c>
      <c r="K72" s="22">
        <v>147.45098039215688</v>
      </c>
      <c r="L72" s="22">
        <v>1</v>
      </c>
      <c r="M72" s="22">
        <v>0</v>
      </c>
      <c r="N72" s="22">
        <v>1</v>
      </c>
      <c r="O72" s="23">
        <v>1.3297872340425532E-3</v>
      </c>
    </row>
    <row r="73" spans="1:15" x14ac:dyDescent="0.3">
      <c r="A73" s="1" t="s">
        <v>37</v>
      </c>
      <c r="B73" s="1" t="s">
        <v>71</v>
      </c>
      <c r="C73" s="2">
        <v>2019</v>
      </c>
      <c r="D73" s="3">
        <v>14.3</v>
      </c>
      <c r="E73" s="3"/>
      <c r="F73" s="3">
        <v>14.3</v>
      </c>
      <c r="G73" s="22">
        <v>1592</v>
      </c>
      <c r="H73" s="22">
        <v>343</v>
      </c>
      <c r="I73" s="22">
        <v>0</v>
      </c>
      <c r="J73" s="22">
        <v>1935</v>
      </c>
      <c r="K73" s="22">
        <v>135.31468531468531</v>
      </c>
      <c r="L73" s="22">
        <v>0</v>
      </c>
      <c r="M73" s="22">
        <v>0</v>
      </c>
      <c r="N73" s="22">
        <v>0</v>
      </c>
      <c r="O73" s="23">
        <v>0</v>
      </c>
    </row>
    <row r="74" spans="1:15" x14ac:dyDescent="0.3">
      <c r="A74" s="1" t="s">
        <v>37</v>
      </c>
      <c r="B74" s="1" t="s">
        <v>72</v>
      </c>
      <c r="C74" s="2">
        <v>2020</v>
      </c>
      <c r="D74" s="3">
        <v>0.6</v>
      </c>
      <c r="E74" s="3"/>
      <c r="F74" s="3">
        <v>0.6</v>
      </c>
      <c r="G74" s="22">
        <v>60</v>
      </c>
      <c r="H74" s="22">
        <v>18</v>
      </c>
      <c r="I74" s="22">
        <v>0</v>
      </c>
      <c r="J74" s="22">
        <v>78</v>
      </c>
      <c r="K74" s="22">
        <v>130</v>
      </c>
      <c r="L74" s="22">
        <v>0</v>
      </c>
      <c r="M74" s="22">
        <v>0</v>
      </c>
      <c r="N74" s="22">
        <v>0</v>
      </c>
      <c r="O74" s="23">
        <v>0</v>
      </c>
    </row>
    <row r="75" spans="1:15" x14ac:dyDescent="0.3">
      <c r="A75" s="1" t="s">
        <v>37</v>
      </c>
      <c r="B75" s="1" t="s">
        <v>73</v>
      </c>
      <c r="C75" s="2">
        <v>2021</v>
      </c>
      <c r="D75" s="3">
        <v>6.8999999999999995</v>
      </c>
      <c r="E75" s="3"/>
      <c r="F75" s="3">
        <v>6.8999999999999995</v>
      </c>
      <c r="G75" s="22">
        <v>847</v>
      </c>
      <c r="H75" s="22">
        <v>107</v>
      </c>
      <c r="I75" s="22">
        <v>0</v>
      </c>
      <c r="J75" s="22">
        <v>954</v>
      </c>
      <c r="K75" s="22">
        <v>138.2608695652174</v>
      </c>
      <c r="L75" s="22">
        <v>0</v>
      </c>
      <c r="M75" s="22">
        <v>0</v>
      </c>
      <c r="N75" s="22">
        <v>0</v>
      </c>
      <c r="O75" s="23">
        <v>0</v>
      </c>
    </row>
    <row r="76" spans="1:15" x14ac:dyDescent="0.3">
      <c r="A76" s="1" t="s">
        <v>37</v>
      </c>
      <c r="B76" s="1" t="s">
        <v>74</v>
      </c>
      <c r="C76" s="2">
        <v>2013</v>
      </c>
      <c r="D76" s="3">
        <v>0.6</v>
      </c>
      <c r="E76" s="3"/>
      <c r="F76" s="3">
        <v>0.6</v>
      </c>
      <c r="G76" s="22">
        <v>61</v>
      </c>
      <c r="H76" s="22">
        <v>0</v>
      </c>
      <c r="I76" s="22">
        <v>0</v>
      </c>
      <c r="J76" s="22">
        <v>61</v>
      </c>
      <c r="K76" s="22">
        <v>101.66666666666667</v>
      </c>
      <c r="L76" s="22">
        <v>1</v>
      </c>
      <c r="M76" s="22">
        <v>0</v>
      </c>
      <c r="N76" s="22">
        <v>1</v>
      </c>
      <c r="O76" s="23">
        <v>1.6393442622950821E-2</v>
      </c>
    </row>
    <row r="77" spans="1:15" x14ac:dyDescent="0.3">
      <c r="A77" s="1" t="s">
        <v>37</v>
      </c>
      <c r="B77" s="1" t="s">
        <v>75</v>
      </c>
      <c r="C77" s="2">
        <v>2017</v>
      </c>
      <c r="D77" s="3">
        <v>1.6</v>
      </c>
      <c r="E77" s="3"/>
      <c r="F77" s="3">
        <v>1.6</v>
      </c>
      <c r="G77" s="22">
        <v>176</v>
      </c>
      <c r="H77" s="22">
        <v>64</v>
      </c>
      <c r="I77" s="22">
        <v>0</v>
      </c>
      <c r="J77" s="22">
        <v>240</v>
      </c>
      <c r="K77" s="22">
        <v>150</v>
      </c>
      <c r="L77" s="22">
        <v>0</v>
      </c>
      <c r="M77" s="22">
        <v>0</v>
      </c>
      <c r="N77" s="22">
        <v>0</v>
      </c>
      <c r="O77" s="23">
        <v>0</v>
      </c>
    </row>
    <row r="78" spans="1:15" x14ac:dyDescent="0.3">
      <c r="A78" s="1" t="s">
        <v>37</v>
      </c>
      <c r="B78" s="1" t="s">
        <v>76</v>
      </c>
      <c r="C78" s="2">
        <v>2021</v>
      </c>
      <c r="D78" s="3">
        <v>3.3</v>
      </c>
      <c r="E78" s="3"/>
      <c r="F78" s="3">
        <v>3.3</v>
      </c>
      <c r="G78" s="22">
        <v>356</v>
      </c>
      <c r="H78" s="22">
        <v>107</v>
      </c>
      <c r="I78" s="22">
        <v>0</v>
      </c>
      <c r="J78" s="22">
        <v>463</v>
      </c>
      <c r="K78" s="22">
        <v>140.30303030303031</v>
      </c>
      <c r="L78" s="22">
        <v>0</v>
      </c>
      <c r="M78" s="22">
        <v>0</v>
      </c>
      <c r="N78" s="22">
        <v>0</v>
      </c>
      <c r="O78" s="23">
        <v>0</v>
      </c>
    </row>
    <row r="79" spans="1:15" x14ac:dyDescent="0.3">
      <c r="A79" s="1" t="s">
        <v>37</v>
      </c>
      <c r="B79" s="1" t="s">
        <v>77</v>
      </c>
      <c r="C79" s="2">
        <v>2023</v>
      </c>
      <c r="D79" s="3">
        <v>4.3</v>
      </c>
      <c r="E79" s="3"/>
      <c r="F79" s="3">
        <v>4.3</v>
      </c>
      <c r="G79" s="22">
        <v>589</v>
      </c>
      <c r="H79" s="22">
        <v>15</v>
      </c>
      <c r="I79" s="22">
        <v>0</v>
      </c>
      <c r="J79" s="22">
        <v>604</v>
      </c>
      <c r="K79" s="22">
        <v>140.46511627906978</v>
      </c>
      <c r="L79" s="22">
        <v>0</v>
      </c>
      <c r="M79" s="22">
        <v>0</v>
      </c>
      <c r="N79" s="22">
        <v>0</v>
      </c>
      <c r="O79" s="23">
        <v>0</v>
      </c>
    </row>
    <row r="80" spans="1:15" x14ac:dyDescent="0.3">
      <c r="A80" s="4" t="s">
        <v>37</v>
      </c>
      <c r="B80" s="4" t="s">
        <v>78</v>
      </c>
      <c r="C80" s="5">
        <v>2025</v>
      </c>
      <c r="D80" s="6"/>
      <c r="E80" s="6">
        <v>1.1000000000000001</v>
      </c>
      <c r="F80" s="6">
        <v>1.1000000000000001</v>
      </c>
      <c r="G80" s="24">
        <v>139</v>
      </c>
      <c r="H80" s="24">
        <v>0</v>
      </c>
      <c r="I80" s="24">
        <v>0</v>
      </c>
      <c r="J80" s="24">
        <v>139</v>
      </c>
      <c r="K80" s="24">
        <v>126.36363636363636</v>
      </c>
      <c r="L80" s="24">
        <v>0</v>
      </c>
      <c r="M80" s="24">
        <v>0</v>
      </c>
      <c r="N80" s="24">
        <v>0</v>
      </c>
      <c r="O80" s="25">
        <v>0</v>
      </c>
    </row>
    <row r="81" spans="1:15" x14ac:dyDescent="0.3">
      <c r="A81" s="1" t="s">
        <v>37</v>
      </c>
      <c r="B81" s="1" t="s">
        <v>79</v>
      </c>
      <c r="C81" s="2">
        <v>2013</v>
      </c>
      <c r="D81" s="3">
        <v>0.9</v>
      </c>
      <c r="E81" s="3"/>
      <c r="F81" s="3">
        <v>0.9</v>
      </c>
      <c r="G81" s="22">
        <v>139</v>
      </c>
      <c r="H81" s="22">
        <v>0</v>
      </c>
      <c r="I81" s="22">
        <v>0</v>
      </c>
      <c r="J81" s="22">
        <v>139</v>
      </c>
      <c r="K81" s="22">
        <v>154.44444444444443</v>
      </c>
      <c r="L81" s="22">
        <v>1</v>
      </c>
      <c r="M81" s="22">
        <v>0</v>
      </c>
      <c r="N81" s="22">
        <v>1</v>
      </c>
      <c r="O81" s="23">
        <v>7.1942446043165471E-3</v>
      </c>
    </row>
    <row r="82" spans="1:15" x14ac:dyDescent="0.3">
      <c r="A82" s="1" t="s">
        <v>37</v>
      </c>
      <c r="B82" s="1" t="s">
        <v>80</v>
      </c>
      <c r="C82" s="2">
        <v>2017</v>
      </c>
      <c r="D82" s="3">
        <v>1</v>
      </c>
      <c r="E82" s="3"/>
      <c r="F82" s="3">
        <v>1</v>
      </c>
      <c r="G82" s="22">
        <v>141</v>
      </c>
      <c r="H82" s="22">
        <v>0</v>
      </c>
      <c r="I82" s="22">
        <v>0</v>
      </c>
      <c r="J82" s="22">
        <v>141</v>
      </c>
      <c r="K82" s="22">
        <v>141</v>
      </c>
      <c r="L82" s="22">
        <v>0</v>
      </c>
      <c r="M82" s="22">
        <v>0</v>
      </c>
      <c r="N82" s="22">
        <v>0</v>
      </c>
      <c r="O82" s="23">
        <v>0</v>
      </c>
    </row>
    <row r="83" spans="1:15" x14ac:dyDescent="0.3">
      <c r="A83" s="1" t="s">
        <v>37</v>
      </c>
      <c r="B83" s="1" t="s">
        <v>81</v>
      </c>
      <c r="C83" s="2">
        <v>2018</v>
      </c>
      <c r="D83" s="3">
        <v>0.5</v>
      </c>
      <c r="E83" s="3"/>
      <c r="F83" s="3">
        <v>0.5</v>
      </c>
      <c r="G83" s="22">
        <v>63</v>
      </c>
      <c r="H83" s="22">
        <v>8</v>
      </c>
      <c r="I83" s="22">
        <v>0</v>
      </c>
      <c r="J83" s="22">
        <v>71</v>
      </c>
      <c r="K83" s="22">
        <v>142</v>
      </c>
      <c r="L83" s="22">
        <v>0</v>
      </c>
      <c r="M83" s="22">
        <v>0</v>
      </c>
      <c r="N83" s="22">
        <v>0</v>
      </c>
      <c r="O83" s="23">
        <v>0</v>
      </c>
    </row>
    <row r="84" spans="1:15" x14ac:dyDescent="0.3">
      <c r="A84" s="1" t="s">
        <v>37</v>
      </c>
      <c r="B84" s="1" t="s">
        <v>82</v>
      </c>
      <c r="C84" s="2">
        <v>2019</v>
      </c>
      <c r="D84" s="3">
        <v>0.1</v>
      </c>
      <c r="E84" s="3"/>
      <c r="F84" s="3">
        <v>0.1</v>
      </c>
      <c r="G84" s="22">
        <v>11</v>
      </c>
      <c r="H84" s="22">
        <v>3</v>
      </c>
      <c r="I84" s="22">
        <v>0</v>
      </c>
      <c r="J84" s="22">
        <v>14</v>
      </c>
      <c r="K84" s="22">
        <v>140</v>
      </c>
      <c r="L84" s="22">
        <v>0</v>
      </c>
      <c r="M84" s="22">
        <v>0</v>
      </c>
      <c r="N84" s="22">
        <v>0</v>
      </c>
      <c r="O84" s="23">
        <v>0</v>
      </c>
    </row>
    <row r="85" spans="1:15" x14ac:dyDescent="0.3">
      <c r="A85" s="1" t="s">
        <v>37</v>
      </c>
      <c r="B85" s="1" t="s">
        <v>83</v>
      </c>
      <c r="C85" s="2">
        <v>2021</v>
      </c>
      <c r="D85" s="3">
        <v>2.1</v>
      </c>
      <c r="E85" s="3"/>
      <c r="F85" s="3">
        <v>2.1</v>
      </c>
      <c r="G85" s="22">
        <v>245</v>
      </c>
      <c r="H85" s="22">
        <v>40</v>
      </c>
      <c r="I85" s="22">
        <v>0</v>
      </c>
      <c r="J85" s="22">
        <v>285</v>
      </c>
      <c r="K85" s="22">
        <v>135.71428571428572</v>
      </c>
      <c r="L85" s="22">
        <v>0</v>
      </c>
      <c r="M85" s="22">
        <v>0</v>
      </c>
      <c r="N85" s="22">
        <v>0</v>
      </c>
      <c r="O85" s="23">
        <v>0</v>
      </c>
    </row>
    <row r="86" spans="1:15" x14ac:dyDescent="0.3">
      <c r="A86" s="1" t="s">
        <v>37</v>
      </c>
      <c r="B86" s="1" t="s">
        <v>84</v>
      </c>
      <c r="C86" s="2">
        <v>2022</v>
      </c>
      <c r="D86" s="3">
        <v>1.9</v>
      </c>
      <c r="E86" s="3"/>
      <c r="F86" s="3">
        <v>1.9</v>
      </c>
      <c r="G86" s="22">
        <v>230</v>
      </c>
      <c r="H86" s="22">
        <v>19</v>
      </c>
      <c r="I86" s="22">
        <v>0</v>
      </c>
      <c r="J86" s="22">
        <v>249</v>
      </c>
      <c r="K86" s="22">
        <v>131.05263157894737</v>
      </c>
      <c r="L86" s="22">
        <v>0</v>
      </c>
      <c r="M86" s="22">
        <v>0</v>
      </c>
      <c r="N86" s="22">
        <v>0</v>
      </c>
      <c r="O86" s="23">
        <v>0</v>
      </c>
    </row>
    <row r="87" spans="1:15" x14ac:dyDescent="0.3">
      <c r="A87" s="1" t="s">
        <v>37</v>
      </c>
      <c r="B87" s="1" t="s">
        <v>85</v>
      </c>
      <c r="C87" s="2">
        <v>2023</v>
      </c>
      <c r="D87" s="3">
        <v>0.9</v>
      </c>
      <c r="E87" s="3"/>
      <c r="F87" s="3">
        <v>0.9</v>
      </c>
      <c r="G87" s="22">
        <v>127</v>
      </c>
      <c r="H87" s="22">
        <v>0</v>
      </c>
      <c r="I87" s="22">
        <v>0</v>
      </c>
      <c r="J87" s="22">
        <v>127</v>
      </c>
      <c r="K87" s="22">
        <v>141.11111111111111</v>
      </c>
      <c r="L87" s="22">
        <v>0</v>
      </c>
      <c r="M87" s="22">
        <v>0</v>
      </c>
      <c r="N87" s="22">
        <v>0</v>
      </c>
      <c r="O87" s="23">
        <v>0</v>
      </c>
    </row>
    <row r="88" spans="1:15" x14ac:dyDescent="0.3">
      <c r="A88" s="4" t="s">
        <v>37</v>
      </c>
      <c r="B88" s="4" t="s">
        <v>86</v>
      </c>
      <c r="C88" s="5">
        <v>2025</v>
      </c>
      <c r="D88" s="6"/>
      <c r="E88" s="6">
        <v>1.3</v>
      </c>
      <c r="F88" s="6">
        <v>1.3</v>
      </c>
      <c r="G88" s="24">
        <v>177</v>
      </c>
      <c r="H88" s="24">
        <v>8</v>
      </c>
      <c r="I88" s="24">
        <v>0</v>
      </c>
      <c r="J88" s="24">
        <v>185</v>
      </c>
      <c r="K88" s="24">
        <v>142.30769230769229</v>
      </c>
      <c r="L88" s="24">
        <v>0</v>
      </c>
      <c r="M88" s="24">
        <v>0</v>
      </c>
      <c r="N88" s="24">
        <v>0</v>
      </c>
      <c r="O88" s="25">
        <v>0</v>
      </c>
    </row>
    <row r="89" spans="1:15" x14ac:dyDescent="0.3">
      <c r="A89" s="1" t="s">
        <v>37</v>
      </c>
      <c r="B89" s="1" t="s">
        <v>87</v>
      </c>
      <c r="C89" s="2">
        <v>2013</v>
      </c>
      <c r="D89" s="3">
        <v>2</v>
      </c>
      <c r="E89" s="3"/>
      <c r="F89" s="3">
        <v>2</v>
      </c>
      <c r="G89" s="22">
        <v>244</v>
      </c>
      <c r="H89" s="22">
        <v>0</v>
      </c>
      <c r="I89" s="22">
        <v>0</v>
      </c>
      <c r="J89" s="22">
        <v>244</v>
      </c>
      <c r="K89" s="22">
        <v>122</v>
      </c>
      <c r="L89" s="22">
        <v>0</v>
      </c>
      <c r="M89" s="22">
        <v>0</v>
      </c>
      <c r="N89" s="22">
        <v>0</v>
      </c>
      <c r="O89" s="23">
        <v>0</v>
      </c>
    </row>
    <row r="90" spans="1:15" x14ac:dyDescent="0.3">
      <c r="A90" s="1" t="s">
        <v>37</v>
      </c>
      <c r="B90" s="1" t="s">
        <v>88</v>
      </c>
      <c r="C90" s="2">
        <v>2018</v>
      </c>
      <c r="D90" s="3">
        <v>4.2</v>
      </c>
      <c r="E90" s="3"/>
      <c r="F90" s="3">
        <v>4.2</v>
      </c>
      <c r="G90" s="22">
        <v>217</v>
      </c>
      <c r="H90" s="22">
        <v>221</v>
      </c>
      <c r="I90" s="22">
        <v>0</v>
      </c>
      <c r="J90" s="22">
        <v>438</v>
      </c>
      <c r="K90" s="22">
        <v>104.28571428571428</v>
      </c>
      <c r="L90" s="22">
        <v>0</v>
      </c>
      <c r="M90" s="22">
        <v>0</v>
      </c>
      <c r="N90" s="22">
        <v>0</v>
      </c>
      <c r="O90" s="23">
        <v>0</v>
      </c>
    </row>
    <row r="91" spans="1:15" x14ac:dyDescent="0.3">
      <c r="A91" s="1" t="s">
        <v>37</v>
      </c>
      <c r="B91" s="1" t="s">
        <v>89</v>
      </c>
      <c r="C91" s="2">
        <v>2019</v>
      </c>
      <c r="D91" s="3">
        <v>0.5</v>
      </c>
      <c r="E91" s="3"/>
      <c r="F91" s="3">
        <v>0.5</v>
      </c>
      <c r="G91" s="22">
        <v>59</v>
      </c>
      <c r="H91" s="22">
        <v>16</v>
      </c>
      <c r="I91" s="22">
        <v>0</v>
      </c>
      <c r="J91" s="22">
        <v>75</v>
      </c>
      <c r="K91" s="22">
        <v>150</v>
      </c>
      <c r="L91" s="22">
        <v>0</v>
      </c>
      <c r="M91" s="22">
        <v>0</v>
      </c>
      <c r="N91" s="22">
        <v>0</v>
      </c>
      <c r="O91" s="23">
        <v>0</v>
      </c>
    </row>
    <row r="92" spans="1:15" x14ac:dyDescent="0.3">
      <c r="A92" s="1" t="s">
        <v>37</v>
      </c>
      <c r="B92" s="1" t="s">
        <v>90</v>
      </c>
      <c r="C92" s="2">
        <v>2021</v>
      </c>
      <c r="D92" s="3">
        <v>0.1</v>
      </c>
      <c r="E92" s="3"/>
      <c r="F92" s="3">
        <v>0.1</v>
      </c>
      <c r="G92" s="22">
        <v>12</v>
      </c>
      <c r="H92" s="22">
        <v>2</v>
      </c>
      <c r="I92" s="22">
        <v>0</v>
      </c>
      <c r="J92" s="22">
        <v>14</v>
      </c>
      <c r="K92" s="22">
        <v>140</v>
      </c>
      <c r="L92" s="22">
        <v>0</v>
      </c>
      <c r="M92" s="22">
        <v>0</v>
      </c>
      <c r="N92" s="22">
        <v>0</v>
      </c>
      <c r="O92" s="23">
        <v>0</v>
      </c>
    </row>
    <row r="93" spans="1:15" x14ac:dyDescent="0.3">
      <c r="A93" s="1" t="s">
        <v>37</v>
      </c>
      <c r="B93" s="1" t="s">
        <v>91</v>
      </c>
      <c r="C93" s="2">
        <v>2022</v>
      </c>
      <c r="D93" s="3">
        <v>2.9</v>
      </c>
      <c r="E93" s="3"/>
      <c r="F93" s="3">
        <v>2.9</v>
      </c>
      <c r="G93" s="22">
        <v>345</v>
      </c>
      <c r="H93" s="22">
        <v>46</v>
      </c>
      <c r="I93" s="22">
        <v>0</v>
      </c>
      <c r="J93" s="22">
        <v>391</v>
      </c>
      <c r="K93" s="22">
        <v>134.82758620689657</v>
      </c>
      <c r="L93" s="22">
        <v>0</v>
      </c>
      <c r="M93" s="22">
        <v>0</v>
      </c>
      <c r="N93" s="22">
        <v>0</v>
      </c>
      <c r="O93" s="23">
        <v>0</v>
      </c>
    </row>
    <row r="94" spans="1:15" x14ac:dyDescent="0.3">
      <c r="A94" s="1" t="s">
        <v>37</v>
      </c>
      <c r="B94" s="1" t="s">
        <v>92</v>
      </c>
      <c r="C94" s="2">
        <v>2023</v>
      </c>
      <c r="D94" s="3">
        <v>3.9</v>
      </c>
      <c r="E94" s="3"/>
      <c r="F94" s="3">
        <v>3.9</v>
      </c>
      <c r="G94" s="22">
        <v>551</v>
      </c>
      <c r="H94" s="22">
        <v>0</v>
      </c>
      <c r="I94" s="22">
        <v>0</v>
      </c>
      <c r="J94" s="22">
        <v>551</v>
      </c>
      <c r="K94" s="22">
        <v>141.2820512820513</v>
      </c>
      <c r="L94" s="22">
        <v>0</v>
      </c>
      <c r="M94" s="22">
        <v>0</v>
      </c>
      <c r="N94" s="22">
        <v>0</v>
      </c>
      <c r="O94" s="23">
        <v>0</v>
      </c>
    </row>
    <row r="95" spans="1:15" x14ac:dyDescent="0.3">
      <c r="A95" s="4" t="s">
        <v>37</v>
      </c>
      <c r="B95" s="4" t="s">
        <v>93</v>
      </c>
      <c r="C95" s="5">
        <v>2025</v>
      </c>
      <c r="D95" s="6"/>
      <c r="E95" s="6">
        <v>3.5</v>
      </c>
      <c r="F95" s="6">
        <v>3.5</v>
      </c>
      <c r="G95" s="24">
        <v>515</v>
      </c>
      <c r="H95" s="24">
        <v>0</v>
      </c>
      <c r="I95" s="24">
        <v>0</v>
      </c>
      <c r="J95" s="24">
        <v>515</v>
      </c>
      <c r="K95" s="24">
        <v>147.14285714285714</v>
      </c>
      <c r="L95" s="24">
        <v>0</v>
      </c>
      <c r="M95" s="24">
        <v>0</v>
      </c>
      <c r="N95" s="24">
        <v>0</v>
      </c>
      <c r="O95" s="25">
        <v>0</v>
      </c>
    </row>
    <row r="96" spans="1:15" x14ac:dyDescent="0.3">
      <c r="A96" s="1" t="s">
        <v>37</v>
      </c>
      <c r="B96" s="1" t="s">
        <v>94</v>
      </c>
      <c r="C96" s="2">
        <v>2012</v>
      </c>
      <c r="D96" s="3">
        <v>35.799999999999997</v>
      </c>
      <c r="E96" s="3"/>
      <c r="F96" s="3">
        <v>35.799999999999997</v>
      </c>
      <c r="G96" s="22">
        <v>770</v>
      </c>
      <c r="H96" s="22">
        <v>3507</v>
      </c>
      <c r="I96" s="22">
        <v>0</v>
      </c>
      <c r="J96" s="22">
        <v>4277</v>
      </c>
      <c r="K96" s="22">
        <v>119.46927374301677</v>
      </c>
      <c r="L96" s="22">
        <v>51</v>
      </c>
      <c r="M96" s="22">
        <v>16</v>
      </c>
      <c r="N96" s="22">
        <v>67</v>
      </c>
      <c r="O96" s="23">
        <v>1.5665185877951834E-2</v>
      </c>
    </row>
    <row r="97" spans="1:15" x14ac:dyDescent="0.3">
      <c r="A97" s="1" t="s">
        <v>37</v>
      </c>
      <c r="B97" s="1" t="s">
        <v>95</v>
      </c>
      <c r="C97" s="2">
        <v>2011</v>
      </c>
      <c r="D97" s="3">
        <v>30.1</v>
      </c>
      <c r="E97" s="3"/>
      <c r="F97" s="3">
        <v>30.1</v>
      </c>
      <c r="G97" s="22">
        <v>1325</v>
      </c>
      <c r="H97" s="22">
        <v>2172</v>
      </c>
      <c r="I97" s="22">
        <v>0</v>
      </c>
      <c r="J97" s="22">
        <v>3497</v>
      </c>
      <c r="K97" s="22">
        <v>116.17940199335547</v>
      </c>
      <c r="L97" s="22">
        <v>220</v>
      </c>
      <c r="M97" s="22">
        <v>45</v>
      </c>
      <c r="N97" s="22">
        <v>265</v>
      </c>
      <c r="O97" s="23">
        <v>7.5779239348012575E-2</v>
      </c>
    </row>
    <row r="98" spans="1:15" x14ac:dyDescent="0.3">
      <c r="A98" s="1" t="s">
        <v>37</v>
      </c>
      <c r="B98" s="1" t="s">
        <v>96</v>
      </c>
      <c r="C98" s="2">
        <v>2011</v>
      </c>
      <c r="D98" s="3">
        <v>30.499999999999996</v>
      </c>
      <c r="E98" s="3"/>
      <c r="F98" s="3">
        <v>30.499999999999996</v>
      </c>
      <c r="G98" s="22">
        <v>2107</v>
      </c>
      <c r="H98" s="22">
        <v>1414</v>
      </c>
      <c r="I98" s="22">
        <v>0</v>
      </c>
      <c r="J98" s="22">
        <v>3521</v>
      </c>
      <c r="K98" s="22">
        <v>115.44262295081968</v>
      </c>
      <c r="L98" s="22">
        <v>200</v>
      </c>
      <c r="M98" s="22">
        <v>43</v>
      </c>
      <c r="N98" s="22">
        <v>243</v>
      </c>
      <c r="O98" s="23">
        <v>6.9014484521442779E-2</v>
      </c>
    </row>
    <row r="99" spans="1:15" x14ac:dyDescent="0.3">
      <c r="A99" s="1" t="s">
        <v>37</v>
      </c>
      <c r="B99" s="1" t="s">
        <v>97</v>
      </c>
      <c r="C99" s="2">
        <v>2017</v>
      </c>
      <c r="D99" s="3">
        <v>0</v>
      </c>
      <c r="E99" s="3"/>
      <c r="F99" s="3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3">
        <v>0</v>
      </c>
    </row>
    <row r="100" spans="1:15" x14ac:dyDescent="0.3">
      <c r="A100" s="1" t="s">
        <v>37</v>
      </c>
      <c r="B100" s="1" t="s">
        <v>98</v>
      </c>
      <c r="C100" s="2">
        <v>2013</v>
      </c>
      <c r="D100" s="3">
        <v>30</v>
      </c>
      <c r="E100" s="3"/>
      <c r="F100" s="3">
        <v>30</v>
      </c>
      <c r="G100" s="22">
        <v>2900</v>
      </c>
      <c r="H100" s="22">
        <v>697</v>
      </c>
      <c r="I100" s="22">
        <v>0</v>
      </c>
      <c r="J100" s="22">
        <v>3597</v>
      </c>
      <c r="K100" s="22">
        <v>119.9</v>
      </c>
      <c r="L100" s="22">
        <v>174</v>
      </c>
      <c r="M100" s="22">
        <v>33</v>
      </c>
      <c r="N100" s="22">
        <v>207</v>
      </c>
      <c r="O100" s="23">
        <v>5.7547956630525435E-2</v>
      </c>
    </row>
    <row r="101" spans="1:15" x14ac:dyDescent="0.3">
      <c r="A101" s="1" t="s">
        <v>37</v>
      </c>
      <c r="B101" s="1" t="s">
        <v>99</v>
      </c>
      <c r="C101" s="2">
        <v>2017</v>
      </c>
      <c r="D101" s="3">
        <v>1.4</v>
      </c>
      <c r="E101" s="3"/>
      <c r="F101" s="3">
        <v>1.4</v>
      </c>
      <c r="G101" s="22">
        <v>186</v>
      </c>
      <c r="H101" s="22">
        <v>4</v>
      </c>
      <c r="I101" s="22">
        <v>0</v>
      </c>
      <c r="J101" s="22">
        <v>190</v>
      </c>
      <c r="K101" s="22">
        <v>135.71428571428572</v>
      </c>
      <c r="L101" s="22">
        <v>13</v>
      </c>
      <c r="M101" s="22">
        <v>4</v>
      </c>
      <c r="N101" s="22">
        <v>17</v>
      </c>
      <c r="O101" s="23">
        <v>8.9473684210526316E-2</v>
      </c>
    </row>
    <row r="102" spans="1:15" x14ac:dyDescent="0.3">
      <c r="A102" s="1" t="s">
        <v>37</v>
      </c>
      <c r="B102" s="1" t="s">
        <v>100</v>
      </c>
      <c r="C102" s="2">
        <v>2013</v>
      </c>
      <c r="D102" s="3">
        <v>12.92</v>
      </c>
      <c r="E102" s="3"/>
      <c r="F102" s="3">
        <v>12.92</v>
      </c>
      <c r="G102" s="22">
        <v>976</v>
      </c>
      <c r="H102" s="22">
        <v>235</v>
      </c>
      <c r="I102" s="22">
        <v>0</v>
      </c>
      <c r="J102" s="22">
        <v>1211</v>
      </c>
      <c r="K102" s="22">
        <v>93.730650154798766</v>
      </c>
      <c r="L102" s="22">
        <v>117</v>
      </c>
      <c r="M102" s="22">
        <v>21</v>
      </c>
      <c r="N102" s="22">
        <v>138</v>
      </c>
      <c r="O102" s="23">
        <v>0.11395540875309662</v>
      </c>
    </row>
    <row r="103" spans="1:15" x14ac:dyDescent="0.3">
      <c r="A103" s="1" t="s">
        <v>37</v>
      </c>
      <c r="B103" s="1" t="s">
        <v>101</v>
      </c>
      <c r="C103" s="2">
        <v>2013</v>
      </c>
      <c r="D103" s="3">
        <v>0</v>
      </c>
      <c r="E103" s="3"/>
      <c r="F103" s="3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3">
        <v>0</v>
      </c>
    </row>
    <row r="104" spans="1:15" x14ac:dyDescent="0.3">
      <c r="A104" s="1" t="s">
        <v>37</v>
      </c>
      <c r="B104" s="1" t="s">
        <v>102</v>
      </c>
      <c r="C104" s="2">
        <v>0</v>
      </c>
      <c r="D104" s="3">
        <v>0</v>
      </c>
      <c r="E104" s="3"/>
      <c r="F104" s="3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3">
        <v>0</v>
      </c>
    </row>
    <row r="105" spans="1:15" x14ac:dyDescent="0.3">
      <c r="A105" s="1" t="s">
        <v>37</v>
      </c>
      <c r="B105" s="1" t="s">
        <v>103</v>
      </c>
      <c r="C105" s="2">
        <v>2021</v>
      </c>
      <c r="D105" s="3">
        <v>0.6</v>
      </c>
      <c r="E105" s="3"/>
      <c r="F105" s="3">
        <v>0.6</v>
      </c>
      <c r="G105" s="22">
        <v>84</v>
      </c>
      <c r="H105" s="22">
        <v>0</v>
      </c>
      <c r="I105" s="22">
        <v>0</v>
      </c>
      <c r="J105" s="22">
        <v>84</v>
      </c>
      <c r="K105" s="22">
        <v>140</v>
      </c>
      <c r="L105" s="22">
        <v>0</v>
      </c>
      <c r="M105" s="22">
        <v>0</v>
      </c>
      <c r="N105" s="22">
        <v>0</v>
      </c>
      <c r="O105" s="23">
        <v>0</v>
      </c>
    </row>
    <row r="106" spans="1:15" x14ac:dyDescent="0.3">
      <c r="A106" s="1" t="s">
        <v>37</v>
      </c>
      <c r="B106" s="1" t="s">
        <v>104</v>
      </c>
      <c r="C106" s="2">
        <v>0</v>
      </c>
      <c r="D106" s="3">
        <v>0</v>
      </c>
      <c r="E106" s="3"/>
      <c r="F106" s="3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3">
        <v>0</v>
      </c>
    </row>
    <row r="107" spans="1:15" x14ac:dyDescent="0.3">
      <c r="A107" s="1" t="s">
        <v>37</v>
      </c>
      <c r="B107" s="1" t="s">
        <v>105</v>
      </c>
      <c r="C107" s="2">
        <v>2011</v>
      </c>
      <c r="D107" s="3">
        <v>29.7</v>
      </c>
      <c r="E107" s="3"/>
      <c r="F107" s="3">
        <v>29.7</v>
      </c>
      <c r="G107" s="22">
        <v>20</v>
      </c>
      <c r="H107" s="22">
        <v>3580</v>
      </c>
      <c r="I107" s="22">
        <v>0</v>
      </c>
      <c r="J107" s="22">
        <v>3600</v>
      </c>
      <c r="K107" s="22">
        <v>121.21212121212122</v>
      </c>
      <c r="L107" s="22">
        <v>277</v>
      </c>
      <c r="M107" s="22">
        <v>88</v>
      </c>
      <c r="N107" s="22">
        <v>365</v>
      </c>
      <c r="O107" s="23">
        <v>0.10138888888888889</v>
      </c>
    </row>
    <row r="108" spans="1:15" x14ac:dyDescent="0.3">
      <c r="A108" s="1" t="s">
        <v>37</v>
      </c>
      <c r="B108" s="1" t="s">
        <v>106</v>
      </c>
      <c r="C108" s="2">
        <v>2013</v>
      </c>
      <c r="D108" s="3">
        <v>29.700000000000003</v>
      </c>
      <c r="E108" s="3"/>
      <c r="F108" s="3">
        <v>29.700000000000003</v>
      </c>
      <c r="G108" s="22">
        <v>3514</v>
      </c>
      <c r="H108" s="22">
        <v>94</v>
      </c>
      <c r="I108" s="22">
        <v>0</v>
      </c>
      <c r="J108" s="22">
        <v>3608</v>
      </c>
      <c r="K108" s="22">
        <v>121.48148148148147</v>
      </c>
      <c r="L108" s="22">
        <v>216</v>
      </c>
      <c r="M108" s="22">
        <v>65</v>
      </c>
      <c r="N108" s="22">
        <v>281</v>
      </c>
      <c r="O108" s="23">
        <v>7.7882483370288247E-2</v>
      </c>
    </row>
    <row r="109" spans="1:15" x14ac:dyDescent="0.3">
      <c r="A109" s="1" t="s">
        <v>37</v>
      </c>
      <c r="B109" s="1" t="s">
        <v>107</v>
      </c>
      <c r="C109" s="2">
        <v>2012</v>
      </c>
      <c r="D109" s="3">
        <v>29.200000000000003</v>
      </c>
      <c r="E109" s="3"/>
      <c r="F109" s="3">
        <v>29.200000000000003</v>
      </c>
      <c r="G109" s="22">
        <v>3251</v>
      </c>
      <c r="H109" s="22">
        <v>485</v>
      </c>
      <c r="I109" s="22">
        <v>0</v>
      </c>
      <c r="J109" s="22">
        <v>3736</v>
      </c>
      <c r="K109" s="22">
        <v>127.94520547945204</v>
      </c>
      <c r="L109" s="22">
        <v>151</v>
      </c>
      <c r="M109" s="22">
        <v>36</v>
      </c>
      <c r="N109" s="22">
        <v>187</v>
      </c>
      <c r="O109" s="23">
        <v>5.0053533190578162E-2</v>
      </c>
    </row>
    <row r="110" spans="1:15" x14ac:dyDescent="0.3">
      <c r="A110" s="1" t="s">
        <v>37</v>
      </c>
      <c r="B110" s="1" t="s">
        <v>108</v>
      </c>
      <c r="C110" s="2">
        <v>2013</v>
      </c>
      <c r="D110" s="3">
        <v>28.900000000000002</v>
      </c>
      <c r="E110" s="3"/>
      <c r="F110" s="3">
        <v>28.900000000000002</v>
      </c>
      <c r="G110" s="22">
        <v>3037</v>
      </c>
      <c r="H110" s="22">
        <v>235</v>
      </c>
      <c r="I110" s="22">
        <v>0</v>
      </c>
      <c r="J110" s="22">
        <v>3272</v>
      </c>
      <c r="K110" s="22">
        <v>113.21799307958477</v>
      </c>
      <c r="L110" s="22">
        <v>119</v>
      </c>
      <c r="M110" s="22">
        <v>37</v>
      </c>
      <c r="N110" s="22">
        <v>156</v>
      </c>
      <c r="O110" s="23">
        <v>4.7677261613691929E-2</v>
      </c>
    </row>
    <row r="111" spans="1:15" x14ac:dyDescent="0.3">
      <c r="A111" s="1" t="s">
        <v>37</v>
      </c>
      <c r="B111" s="1" t="s">
        <v>109</v>
      </c>
      <c r="C111" s="2">
        <v>2013</v>
      </c>
      <c r="D111" s="3">
        <v>28.700000000000003</v>
      </c>
      <c r="E111" s="3"/>
      <c r="F111" s="3">
        <v>28.700000000000003</v>
      </c>
      <c r="G111" s="22">
        <v>3688</v>
      </c>
      <c r="H111" s="22">
        <v>65</v>
      </c>
      <c r="I111" s="22">
        <v>0</v>
      </c>
      <c r="J111" s="22">
        <v>3753</v>
      </c>
      <c r="K111" s="22">
        <v>130.76655052264806</v>
      </c>
      <c r="L111" s="22">
        <v>165</v>
      </c>
      <c r="M111" s="22">
        <v>47</v>
      </c>
      <c r="N111" s="22">
        <v>212</v>
      </c>
      <c r="O111" s="23">
        <v>5.6488142819078074E-2</v>
      </c>
    </row>
    <row r="112" spans="1:15" x14ac:dyDescent="0.3">
      <c r="A112" s="1" t="s">
        <v>37</v>
      </c>
      <c r="B112" s="1" t="s">
        <v>110</v>
      </c>
      <c r="C112" s="2">
        <v>2013</v>
      </c>
      <c r="D112" s="3">
        <v>26.9</v>
      </c>
      <c r="E112" s="3"/>
      <c r="F112" s="3">
        <v>26.9</v>
      </c>
      <c r="G112" s="22">
        <v>3183</v>
      </c>
      <c r="H112" s="22">
        <v>321</v>
      </c>
      <c r="I112" s="22">
        <v>0</v>
      </c>
      <c r="J112" s="22">
        <v>3504</v>
      </c>
      <c r="K112" s="22">
        <v>130.26022304832713</v>
      </c>
      <c r="L112" s="22">
        <v>141</v>
      </c>
      <c r="M112" s="22">
        <v>42</v>
      </c>
      <c r="N112" s="22">
        <v>183</v>
      </c>
      <c r="O112" s="23">
        <v>5.2226027397260275E-2</v>
      </c>
    </row>
    <row r="113" spans="1:15" x14ac:dyDescent="0.3">
      <c r="A113" s="1" t="s">
        <v>37</v>
      </c>
      <c r="B113" s="1" t="s">
        <v>111</v>
      </c>
      <c r="C113" s="2">
        <v>2012</v>
      </c>
      <c r="D113" s="3">
        <v>27.3</v>
      </c>
      <c r="E113" s="3"/>
      <c r="F113" s="3">
        <v>27.3</v>
      </c>
      <c r="G113" s="22">
        <v>1252</v>
      </c>
      <c r="H113" s="22">
        <v>2125</v>
      </c>
      <c r="I113" s="22">
        <v>3</v>
      </c>
      <c r="J113" s="22">
        <v>3380</v>
      </c>
      <c r="K113" s="22">
        <v>123.80952380952381</v>
      </c>
      <c r="L113" s="22">
        <v>109</v>
      </c>
      <c r="M113" s="22">
        <v>21</v>
      </c>
      <c r="N113" s="22">
        <v>130</v>
      </c>
      <c r="O113" s="23">
        <v>3.8461538461538464E-2</v>
      </c>
    </row>
    <row r="114" spans="1:15" x14ac:dyDescent="0.3">
      <c r="A114" s="1" t="s">
        <v>37</v>
      </c>
      <c r="B114" s="1" t="s">
        <v>112</v>
      </c>
      <c r="C114" s="2">
        <v>2015</v>
      </c>
      <c r="D114" s="3">
        <v>3</v>
      </c>
      <c r="E114" s="3"/>
      <c r="F114" s="3">
        <v>3</v>
      </c>
      <c r="G114" s="22">
        <v>298</v>
      </c>
      <c r="H114" s="22">
        <v>100</v>
      </c>
      <c r="I114" s="22">
        <v>0</v>
      </c>
      <c r="J114" s="22">
        <v>398</v>
      </c>
      <c r="K114" s="22">
        <v>132.66666666666666</v>
      </c>
      <c r="L114" s="22">
        <v>0</v>
      </c>
      <c r="M114" s="22">
        <v>0</v>
      </c>
      <c r="N114" s="22">
        <v>0</v>
      </c>
      <c r="O114" s="23">
        <v>0</v>
      </c>
    </row>
    <row r="115" spans="1:15" x14ac:dyDescent="0.3">
      <c r="A115" s="1" t="s">
        <v>37</v>
      </c>
      <c r="B115" s="1" t="s">
        <v>113</v>
      </c>
      <c r="C115" s="2">
        <v>2011</v>
      </c>
      <c r="D115" s="3">
        <v>28.2</v>
      </c>
      <c r="E115" s="3"/>
      <c r="F115" s="3">
        <v>28.2</v>
      </c>
      <c r="G115" s="22">
        <v>2294</v>
      </c>
      <c r="H115" s="22">
        <v>1056</v>
      </c>
      <c r="I115" s="22">
        <v>17</v>
      </c>
      <c r="J115" s="22">
        <v>3367</v>
      </c>
      <c r="K115" s="22">
        <v>119.39716312056738</v>
      </c>
      <c r="L115" s="22">
        <v>170</v>
      </c>
      <c r="M115" s="22">
        <v>34</v>
      </c>
      <c r="N115" s="22">
        <v>204</v>
      </c>
      <c r="O115" s="23">
        <v>6.0588060588060585E-2</v>
      </c>
    </row>
  </sheetData>
  <mergeCells count="10">
    <mergeCell ref="D1:F1"/>
    <mergeCell ref="D2:F2"/>
    <mergeCell ref="L1:O1"/>
    <mergeCell ref="G2:I2"/>
    <mergeCell ref="J2:J3"/>
    <mergeCell ref="K2:K3"/>
    <mergeCell ref="L2:L3"/>
    <mergeCell ref="M2:M3"/>
    <mergeCell ref="N2:N3"/>
    <mergeCell ref="O2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MasToro Shadiq</dc:creator>
  <cp:lastModifiedBy>MasToro Shadiq</cp:lastModifiedBy>
  <dcterms:created xsi:type="dcterms:W3CDTF">2025-12-12T09:40:28Z</dcterms:created>
  <dcterms:modified xsi:type="dcterms:W3CDTF">2025-12-12T09:46:49Z</dcterms:modified>
</cp:coreProperties>
</file>